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d87e852705282/Documents/lannkz-youtube-analysis/data/processed/"/>
    </mc:Choice>
  </mc:AlternateContent>
  <xr:revisionPtr revIDLastSave="328" documentId="8_{F13BEC6C-2B83-4472-8FBA-B427EE466725}" xr6:coauthVersionLast="47" xr6:coauthVersionMax="47" xr10:uidLastSave="{1BD0E1C8-F477-4C38-9648-F415423FC548}"/>
  <bookViews>
    <workbookView xWindow="28680" yWindow="-195" windowWidth="29040" windowHeight="15720" activeTab="1" xr2:uid="{B9270838-A669-457C-92D8-1791C4D3D347}"/>
  </bookViews>
  <sheets>
    <sheet name="raw_import" sheetId="1" r:id="rId1"/>
    <sheet name="working_data" sheetId="2" r:id="rId2"/>
    <sheet name="tag_definitions" sheetId="3" r:id="rId3"/>
  </sheets>
  <definedNames>
    <definedName name="ExternalData_1" localSheetId="0" hidden="1">raw_import!$A$1:$M$59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53" i="2" l="1"/>
  <c r="R20" i="2"/>
  <c r="R14" i="2"/>
  <c r="R24" i="2"/>
  <c r="R12" i="2"/>
  <c r="Q37" i="2"/>
  <c r="R37" i="2" s="1"/>
  <c r="Q16" i="2"/>
  <c r="R16" i="2" s="1"/>
  <c r="Q59" i="2"/>
  <c r="R59" i="2" s="1"/>
  <c r="Q7" i="2"/>
  <c r="R7" i="2" s="1"/>
  <c r="Q30" i="2"/>
  <c r="R30" i="2" s="1"/>
  <c r="Q13" i="2"/>
  <c r="R13" i="2" s="1"/>
  <c r="Q17" i="2"/>
  <c r="R17" i="2" s="1"/>
  <c r="Q58" i="2"/>
  <c r="R58" i="2" s="1"/>
  <c r="Q4" i="2"/>
  <c r="R4" i="2" s="1"/>
  <c r="Q57" i="2"/>
  <c r="R57" i="2" s="1"/>
  <c r="Q46" i="2"/>
  <c r="R46" i="2" s="1"/>
  <c r="Q36" i="2"/>
  <c r="R36" i="2" s="1"/>
  <c r="Q53" i="2"/>
  <c r="Q2" i="2"/>
  <c r="R2" i="2" s="1"/>
  <c r="Q23" i="2"/>
  <c r="R23" i="2" s="1"/>
  <c r="Q15" i="2"/>
  <c r="R15" i="2" s="1"/>
  <c r="Q35" i="2"/>
  <c r="R35" i="2" s="1"/>
  <c r="Q8" i="2"/>
  <c r="R8" i="2" s="1"/>
  <c r="Q32" i="2"/>
  <c r="R32" i="2" s="1"/>
  <c r="Q44" i="2"/>
  <c r="R44" i="2" s="1"/>
  <c r="Q5" i="2"/>
  <c r="R5" i="2" s="1"/>
  <c r="Q51" i="2"/>
  <c r="R51" i="2" s="1"/>
  <c r="Q26" i="2"/>
  <c r="R26" i="2" s="1"/>
  <c r="Q39" i="2"/>
  <c r="R39" i="2" s="1"/>
  <c r="Q25" i="2"/>
  <c r="R25" i="2" s="1"/>
  <c r="Q47" i="2"/>
  <c r="R47" i="2" s="1"/>
  <c r="Q18" i="2"/>
  <c r="R18" i="2" s="1"/>
  <c r="Q55" i="2"/>
  <c r="R55" i="2" s="1"/>
  <c r="Q48" i="2"/>
  <c r="R48" i="2" s="1"/>
  <c r="Q45" i="2"/>
  <c r="R45" i="2" s="1"/>
  <c r="Q52" i="2"/>
  <c r="R52" i="2" s="1"/>
  <c r="Q56" i="2"/>
  <c r="R56" i="2" s="1"/>
  <c r="Q50" i="2"/>
  <c r="R50" i="2" s="1"/>
  <c r="Q49" i="2"/>
  <c r="R49" i="2" s="1"/>
  <c r="Q11" i="2"/>
  <c r="R11" i="2" s="1"/>
  <c r="Q20" i="2"/>
  <c r="Q14" i="2"/>
  <c r="Q10" i="2"/>
  <c r="R10" i="2" s="1"/>
  <c r="Q29" i="2"/>
  <c r="R29" i="2" s="1"/>
  <c r="Q22" i="2"/>
  <c r="R22" i="2" s="1"/>
  <c r="Q3" i="2"/>
  <c r="R3" i="2" s="1"/>
  <c r="Q19" i="2"/>
  <c r="R19" i="2" s="1"/>
  <c r="Q33" i="2"/>
  <c r="R33" i="2" s="1"/>
  <c r="Q38" i="2"/>
  <c r="R38" i="2" s="1"/>
  <c r="Q40" i="2"/>
  <c r="R40" i="2" s="1"/>
  <c r="Q21" i="2"/>
  <c r="R21" i="2" s="1"/>
  <c r="Q27" i="2"/>
  <c r="R27" i="2" s="1"/>
  <c r="Q24" i="2"/>
  <c r="Q12" i="2"/>
  <c r="Q6" i="2"/>
  <c r="R6" i="2" s="1"/>
  <c r="Q28" i="2"/>
  <c r="R28" i="2" s="1"/>
  <c r="Q41" i="2"/>
  <c r="R41" i="2" s="1"/>
  <c r="Q43" i="2"/>
  <c r="R43" i="2" s="1"/>
  <c r="Q9" i="2"/>
  <c r="R9" i="2" s="1"/>
  <c r="Q42" i="2"/>
  <c r="R42" i="2" s="1"/>
  <c r="Q34" i="2"/>
  <c r="R34" i="2" s="1"/>
  <c r="Q54" i="2"/>
  <c r="R54" i="2" s="1"/>
  <c r="Q31" i="2"/>
  <c r="R31" i="2" s="1"/>
  <c r="T3" i="2" l="1"/>
  <c r="T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7C82D7-2CB8-469C-B24A-1A45C4EA2F7E}" keepAlive="1" name="Query - Table data" description="Connection to the 'Table data' query in the workbook." type="5" refreshedVersion="8" background="1" saveData="1">
    <dbPr connection="Provider=Microsoft.Mashup.OleDb.1;Data Source=$Workbook$;Location=&quot;Table data&quot;;Extended Properties=&quot;&quot;" command="SELECT * FROM [Table data]"/>
  </connection>
</connections>
</file>

<file path=xl/sharedStrings.xml><?xml version="1.0" encoding="utf-8"?>
<sst xmlns="http://schemas.openxmlformats.org/spreadsheetml/2006/main" count="471" uniqueCount="170">
  <si>
    <t>Content</t>
  </si>
  <si>
    <t>Video title</t>
  </si>
  <si>
    <t>Video publish time</t>
  </si>
  <si>
    <t>video_duration_seconds</t>
  </si>
  <si>
    <t>Engaged views</t>
  </si>
  <si>
    <t>Average view duration</t>
  </si>
  <si>
    <t>Average percentage viewed (%)</t>
  </si>
  <si>
    <t>Views</t>
  </si>
  <si>
    <t>Watch time (hours)</t>
  </si>
  <si>
    <t>Subscribers</t>
  </si>
  <si>
    <t>Thumbnail impressions</t>
  </si>
  <si>
    <t>Thumbnail click-through rate (%)</t>
  </si>
  <si>
    <t>avd_seconds</t>
  </si>
  <si>
    <t>PvBJkuEA9jc</t>
  </si>
  <si>
    <t>This game was rigged... | Blue Lock vs U-20 Japan</t>
  </si>
  <si>
    <t>BSk3TO34ucU</t>
  </si>
  <si>
    <t>The Realistic Position of Every Blue Lock Player</t>
  </si>
  <si>
    <t>VXTR3aEmaD0</t>
  </si>
  <si>
    <t>Every Blue Lock Player’s Realistic FC25 Card</t>
  </si>
  <si>
    <t>tCoQS8i3CFk</t>
  </si>
  <si>
    <t>How AI Rated Each Player From The Blue Lock VS U20 Japan Match</t>
  </si>
  <si>
    <t>lBQpJe2pkB4</t>
  </si>
  <si>
    <t>How Scouts Would See Isagi Yoichi [Realistic Analysis]</t>
  </si>
  <si>
    <t>_RKEI7-XQhE</t>
  </si>
  <si>
    <t>How Scouts Would See Shidou Ryusei [Realistic Analysis]</t>
  </si>
  <si>
    <t>k5E4wve4HBQ</t>
  </si>
  <si>
    <t>Why Blue Lock Never Stood a Real Chance</t>
  </si>
  <si>
    <t>QctR4nSxTaQ</t>
  </si>
  <si>
    <t>How Scouts Would See Rin Itoshi [Realistic Analysis]</t>
  </si>
  <si>
    <t>tsLxYAb1VHQ</t>
  </si>
  <si>
    <t>Blue Lock’s Best Players’ Realistic FC25 Cards!</t>
  </si>
  <si>
    <t>Co2_WZ6pUxQ</t>
  </si>
  <si>
    <t>Blue Lock's New Formation Makes NO Sense...</t>
  </si>
  <si>
    <t>rPTRhV4QUmg</t>
  </si>
  <si>
    <t>How Scouts Would See SAE ITOSHI | Realistic Analysis</t>
  </si>
  <si>
    <t>BM_-FtH3yd4</t>
  </si>
  <si>
    <t>Blue Lock Only Has 1 Real Coach</t>
  </si>
  <si>
    <t xml:space="preserve"> -DIPHvPGTnY</t>
  </si>
  <si>
    <t>How Scouts Would See LORENZO | Realistic Analysis</t>
  </si>
  <si>
    <t>mFuKoAY25SI</t>
  </si>
  <si>
    <t>Every Blue Lock Player’s True Position and Role Explained [UPDATED]</t>
  </si>
  <si>
    <t>QC5-pXHkup8</t>
  </si>
  <si>
    <t>How Scouts Would See Meguru Bachira [Realistic Analysis]</t>
  </si>
  <si>
    <t>Z2cz8jc0B6g</t>
  </si>
  <si>
    <t>How Scouts Would See Barou Shoei [Realistic Analysis]</t>
  </si>
  <si>
    <t>V8X7iwvsnwM</t>
  </si>
  <si>
    <t>Blue Lock’s U-20 Formation Looks Insane… But Is It Tactical Genius?</t>
  </si>
  <si>
    <t>kJB70lEe1Gk</t>
  </si>
  <si>
    <t>How Scouts Would See Michael Kaiser | Realistic Analysis</t>
  </si>
  <si>
    <t>yuiEWjCRtW0</t>
  </si>
  <si>
    <t>Ego(ism) Has Hit Rock Bottom - The Truth Behind Blue Lock’s Philosophies</t>
  </si>
  <si>
    <t>Lo8NogNFPic</t>
  </si>
  <si>
    <t>How Scouts Would See JULIEN LOKI | Realistic Analysis</t>
  </si>
  <si>
    <t>32867VjcFr4</t>
  </si>
  <si>
    <t>How Scouts Would See NAGI | Realistic Analysis</t>
  </si>
  <si>
    <t>SNkW391eo9c</t>
  </si>
  <si>
    <t>How Scouts Would See HUGO | Realistic Analysis</t>
  </si>
  <si>
    <t>TOoCL0fCbPo</t>
  </si>
  <si>
    <t>REALISTICALLY Ranking Every Player in the Blue Lock vs Nigeria U-20 Match</t>
  </si>
  <si>
    <t>I9WhHQSqmmU</t>
  </si>
  <si>
    <t>How Scouts Would See ALEXIS NESS | Realistic Analysis</t>
  </si>
  <si>
    <t>3zhQTsc_QLs</t>
  </si>
  <si>
    <t>How Scouts Would See Reo Mikage [Realistic Analysis]</t>
  </si>
  <si>
    <t>YRnWJJcsSZI</t>
  </si>
  <si>
    <t>How Scouts Would See CHARLES | Realistic Analysis</t>
  </si>
  <si>
    <t>acfxU5MnYZk</t>
  </si>
  <si>
    <t>Every Blue Lock Player Rated: Overrated, Underrated, or Fairly Rated?</t>
  </si>
  <si>
    <t>NCSelVUBWa0</t>
  </si>
  <si>
    <t>The Perfect Blue Lock Starting Lineup — If You Built It Around Isagi</t>
  </si>
  <si>
    <t>ZG0Si2Vu2Sg</t>
  </si>
  <si>
    <t>How Scouts Would See Karasu Tabito | Realistic Analysis</t>
  </si>
  <si>
    <t>NFbJXYFQMI8</t>
  </si>
  <si>
    <t>This Lineup is the ONLY Way Blue Lock Wins the U20 World Cup</t>
  </si>
  <si>
    <t>5fFXkFaIcu0</t>
  </si>
  <si>
    <t>How Scouts Would See AIKU | Realistic Analysis</t>
  </si>
  <si>
    <t>sPUGX7DZbGk</t>
  </si>
  <si>
    <t>What Blue Lock Gets RIGHT and WRONG About Football</t>
  </si>
  <si>
    <t>zV4rygmP26A</t>
  </si>
  <si>
    <t>REALISTICALLY Rating Every Player From Japan vs France</t>
  </si>
  <si>
    <t>vmG3ZBoUdVw</t>
  </si>
  <si>
    <t>How You’d Actually Build Around Shidou Ryusei [U20 Japan Team]</t>
  </si>
  <si>
    <t>9H3edcmIEIc</t>
  </si>
  <si>
    <t>How Scouts Would See Kunigami Rensuke | Realistic Analysis</t>
  </si>
  <si>
    <t>wJNxFRJMdFM</t>
  </si>
  <si>
    <t>How You’d Actually Build Around Barou Shoei [U20 Japan Team]</t>
  </si>
  <si>
    <t>jqBRpjzU27g</t>
  </si>
  <si>
    <t>How Scouts Would See Onazi | Realistic Analysis</t>
  </si>
  <si>
    <t>xPP1bVv-BSc</t>
  </si>
  <si>
    <t>This Wasn’t Plot Armor... | How "Isagi Clones" Explain His Success</t>
  </si>
  <si>
    <t>YT9q2MdVvP4</t>
  </si>
  <si>
    <t>You HATED My Blue Lock Starting XI... So I made a Tactical MASTERPIECE</t>
  </si>
  <si>
    <t>h7FivngySss</t>
  </si>
  <si>
    <t>How Scouts Would See YUKIMIYA | Realistic Analysis</t>
  </si>
  <si>
    <t>d5mOqe3VoLc</t>
  </si>
  <si>
    <t>Blue Lock Has Lost Its Most Important Mechanic</t>
  </si>
  <si>
    <t>WhwYHJRoDk8</t>
  </si>
  <si>
    <t>Who Is Blue Lock’s MOST Dangerous Scorer?</t>
  </si>
  <si>
    <t>fjopuLqE8tM</t>
  </si>
  <si>
    <t>How You’d Actually Build Around Rin Itoshi [U20 Japan Team]</t>
  </si>
  <si>
    <t>LYfX36NmZik</t>
  </si>
  <si>
    <t>Blue Lock Community Gotta Chill... | Responding to Comments from AI Rating Video</t>
  </si>
  <si>
    <t>l3NDLHRuPA0</t>
  </si>
  <si>
    <t>Will Chigiri Become a Failed Winger? | Blue Lock Scout Report</t>
  </si>
  <si>
    <t>peGXWThN1jI</t>
  </si>
  <si>
    <t>AI's Realistic Match Ratings for Bastard München vs Paris X Gen!</t>
  </si>
  <si>
    <t>9qvY8ecPh8E</t>
  </si>
  <si>
    <t>Ranking Every Coach In Blue Lock From WORST to BEST</t>
  </si>
  <si>
    <t>w-5-3IuMr6w</t>
  </si>
  <si>
    <t>How Scouts Would See HIORI | Realistic Analysis</t>
  </si>
  <si>
    <t>wrAGzYhRLDk</t>
  </si>
  <si>
    <t>You Think Isagi's a Striker? Think Again...</t>
  </si>
  <si>
    <t>Hmj3Mh-4gxM</t>
  </si>
  <si>
    <t>How AI Rated Each Player From the Bastard Munchen vs FC Barcha Match</t>
  </si>
  <si>
    <t>wCtsMpElLTc</t>
  </si>
  <si>
    <t>How You’d Actually Build Around Bachira Meguru [U20 Japan Team]</t>
  </si>
  <si>
    <t>srW1fVrqmqQ</t>
  </si>
  <si>
    <t>You Sent Your Blue Lock Hot Takes… And I Actually Agreed!?</t>
  </si>
  <si>
    <t>bNZ2Paqd9DM</t>
  </si>
  <si>
    <t>How AI Rated Every Player from the Ubers vs Bastard Munchen Match</t>
  </si>
  <si>
    <t>OekaAIfpu4k</t>
  </si>
  <si>
    <t>Every Blue Lock Player Ranked by Clutch Factor</t>
  </si>
  <si>
    <t>fQK-8Qj8tfY</t>
  </si>
  <si>
    <t>How You’d Actually Build Around Reo Mikage | U20 Japan Team</t>
  </si>
  <si>
    <t>3R__h4nQnt0</t>
  </si>
  <si>
    <t>AI’s Realistic Match Ratings for Bastard München vs. Manshine City – Was Nagi SNUBBED?!</t>
  </si>
  <si>
    <t>RmM9E9VWtXg</t>
  </si>
  <si>
    <t>How You’d Actually Build Around Chigiri Hyoma | U20 Japan Team</t>
  </si>
  <si>
    <t>HLiQm6Pz6u4</t>
  </si>
  <si>
    <t>Goodbye PNG Lock and Hello Blue Lock | What is next for Blue Lock</t>
  </si>
  <si>
    <t>video_id</t>
  </si>
  <si>
    <t>video_title</t>
  </si>
  <si>
    <t>publish_date</t>
  </si>
  <si>
    <t>engaged_views</t>
  </si>
  <si>
    <t>avg_view_duration</t>
  </si>
  <si>
    <t>avg_percentage_viewed</t>
  </si>
  <si>
    <t>views</t>
  </si>
  <si>
    <t>watch_time_hours</t>
  </si>
  <si>
    <t>subscribers_gained</t>
  </si>
  <si>
    <t>impressions</t>
  </si>
  <si>
    <t>ctr</t>
  </si>
  <si>
    <t>content_type</t>
  </si>
  <si>
    <t>definition</t>
  </si>
  <si>
    <t>Scouting Report</t>
  </si>
  <si>
    <t>Tactical Analysis</t>
  </si>
  <si>
    <t>Match Analysis</t>
  </si>
  <si>
    <t>General Analysis</t>
  </si>
  <si>
    <t>Theory/Predictions</t>
  </si>
  <si>
    <t>Individual player evaluation using the Blue Lock Scouting Report format</t>
  </si>
  <si>
    <t>Examination of formations, positions, strategies, coaching, or football mechanics</t>
  </si>
  <si>
    <t>Speculation about future events, character developments, or match outcomes</t>
  </si>
  <si>
    <t>Breakdown or evaluation of a specific match, including player ratings</t>
  </si>
  <si>
    <t>Broader commentary or analysis that doesn't fit the other categories</t>
  </si>
  <si>
    <t>Theory / Prediction</t>
  </si>
  <si>
    <t>Grand Total</t>
  </si>
  <si>
    <t>Row Labels</t>
  </si>
  <si>
    <t>Count of video_id</t>
  </si>
  <si>
    <t>football_relevnace</t>
  </si>
  <si>
    <t>Low</t>
  </si>
  <si>
    <t>Medium</t>
  </si>
  <si>
    <t>High</t>
  </si>
  <si>
    <t>release_relevance</t>
  </si>
  <si>
    <t>Topic had little connection to current manga/anime developments at upload</t>
  </si>
  <si>
    <t>Topic was connected to an ongoing storyline or relevant character at upload</t>
  </si>
  <si>
    <t>Topic directly addressed a recent chapter, episode, reveal, or major development at upload</t>
  </si>
  <si>
    <t>football_relevance</t>
  </si>
  <si>
    <t>Primarily focuses on Blue Lock storytelling, characters, philosophies, or community discussion, with little real-world football analysis</t>
  </si>
  <si>
    <t>Meaningfully combines Blue Lock-specific analysis with real-world football principles, without either clearly dominating</t>
  </si>
  <si>
    <t>Real-world football principles drive most of the video's analysis, such as tactical systems, positional suitability, or realistic player evaluation</t>
  </si>
  <si>
    <t>avd_duration_ratio</t>
  </si>
  <si>
    <t>rentention_difference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</si>
</sst>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9" formatCode="0.0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9" formatCode="0.0000"/>
    </dxf>
    <dxf>
      <numFmt numFmtId="31" formatCode="[h]:mm:ss"/>
    </dxf>
    <dxf>
      <numFmt numFmtId="19" formatCode="yyyy/mm/dd"/>
    </dxf>
    <dxf>
      <numFmt numFmtId="164" formatCode="[$-F400]h:mm:ss\ AM/PM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ni Rowie" refreshedDate="46303.674311574076" createdVersion="8" refreshedVersion="8" minRefreshableVersion="3" recordCount="58" xr:uid="{B20CA8C2-7318-49CD-BDBB-91ABEE097F17}">
  <cacheSource type="worksheet">
    <worksheetSource name="tbl_videos"/>
  </cacheSource>
  <cacheFields count="16">
    <cacheField name="video_id" numFmtId="0">
      <sharedItems/>
    </cacheField>
    <cacheField name="video_title" numFmtId="0">
      <sharedItems/>
    </cacheField>
    <cacheField name="publish_date" numFmtId="14">
      <sharedItems containsSemiMixedTypes="0" containsNonDate="0" containsDate="1" containsString="0" minDate="2024-12-31T00:00:00" maxDate="2026-09-28T00:00:00"/>
    </cacheField>
    <cacheField name="video_duration_seconds" numFmtId="0">
      <sharedItems containsSemiMixedTypes="0" containsString="0" containsNumber="1" containsInteger="1" minValue="181" maxValue="1786"/>
    </cacheField>
    <cacheField name="engaged_views" numFmtId="0">
      <sharedItems containsSemiMixedTypes="0" containsString="0" containsNumber="1" containsInteger="1" minValue="2130" maxValue="343445"/>
    </cacheField>
    <cacheField name="avg_view_duration" numFmtId="46">
      <sharedItems containsSemiMixedTypes="0" containsNonDate="0" containsDate="1" containsString="0" minDate="1899-12-30T00:01:12" maxDate="1899-12-30T00:06:55"/>
    </cacheField>
    <cacheField name="avg_percentage_viewed" numFmtId="0">
      <sharedItems containsSemiMixedTypes="0" containsString="0" containsNumber="1" minValue="17.02" maxValue="52.1"/>
    </cacheField>
    <cacheField name="views" numFmtId="0">
      <sharedItems containsSemiMixedTypes="0" containsString="0" containsNumber="1" containsInteger="1" minValue="2136" maxValue="343630"/>
    </cacheField>
    <cacheField name="watch_time_hours" numFmtId="0">
      <sharedItems containsSemiMixedTypes="0" containsString="0" containsNumber="1" minValue="43.020099999999999" maxValue="28070.854500000001"/>
    </cacheField>
    <cacheField name="subscribers_gained" numFmtId="0">
      <sharedItems containsSemiMixedTypes="0" containsString="0" containsNumber="1" containsInteger="1" minValue="7" maxValue="1083"/>
    </cacheField>
    <cacheField name="impressions" numFmtId="0">
      <sharedItems containsSemiMixedTypes="0" containsString="0" containsNumber="1" containsInteger="1" minValue="26985" maxValue="4793107"/>
    </cacheField>
    <cacheField name="ctr" numFmtId="0">
      <sharedItems containsSemiMixedTypes="0" containsString="0" containsNumber="1" minValue="3.55" maxValue="6.52"/>
    </cacheField>
    <cacheField name="avd_seconds" numFmtId="0">
      <sharedItems containsSemiMixedTypes="0" containsString="0" containsNumber="1" containsInteger="1" minValue="72" maxValue="415"/>
    </cacheField>
    <cacheField name="content_type" numFmtId="0">
      <sharedItems count="5">
        <s v="Match Analysis"/>
        <s v="General Analysis"/>
        <s v="Tactical Analysis"/>
        <s v="Scouting Report"/>
        <s v="Theory / Prediction"/>
      </sharedItems>
    </cacheField>
    <cacheField name="football_relevance" numFmtId="0">
      <sharedItems count="3">
        <s v="High"/>
        <s v="Low"/>
        <s v="Medium"/>
      </sharedItems>
    </cacheField>
    <cacheField name="release_relevance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3R__h4nQnt0"/>
    <s v="AI’s Realistic Match Ratings for Bastard München vs. Manshine City – Was Nagi SNUBBED?!"/>
    <d v="2025-03-09T00:00:00"/>
    <n v="417"/>
    <n v="4433"/>
    <d v="1899-12-30T00:03:29"/>
    <n v="50.17"/>
    <n v="4443"/>
    <n v="257.64139999999998"/>
    <n v="33"/>
    <n v="75711"/>
    <n v="3.89"/>
    <n v="209"/>
    <x v="0"/>
    <x v="0"/>
    <x v="0"/>
  </r>
  <r>
    <s v="peGXWThN1jI"/>
    <s v="AI's Realistic Match Ratings for Bastard München vs Paris X Gen!"/>
    <d v="2025-03-01T00:00:00"/>
    <n v="660"/>
    <n v="9561"/>
    <d v="1899-12-30T00:05:18"/>
    <n v="48.29"/>
    <n v="9571"/>
    <n v="846.51499999999999"/>
    <n v="50"/>
    <n v="123901"/>
    <n v="5.07"/>
    <n v="318"/>
    <x v="0"/>
    <x v="0"/>
    <x v="1"/>
  </r>
  <r>
    <s v="LYfX36NmZik"/>
    <s v="Blue Lock Community Gotta Chill... | Responding to Comments from AI Rating Video"/>
    <d v="2025-01-20T00:00:00"/>
    <n v="500"/>
    <n v="11088"/>
    <d v="1899-12-30T00:02:57"/>
    <n v="35.4"/>
    <n v="11096"/>
    <n v="545.17639999999994"/>
    <n v="65"/>
    <n v="101430"/>
    <n v="6.07"/>
    <n v="177"/>
    <x v="1"/>
    <x v="1"/>
    <x v="1"/>
  </r>
  <r>
    <s v="d5mOqe3VoLc"/>
    <s v="Blue Lock Has Lost Its Most Important Mechanic"/>
    <d v="2026-09-05T00:00:00"/>
    <n v="420"/>
    <n v="12202"/>
    <d v="1899-12-30T00:03:12"/>
    <n v="45.88"/>
    <n v="28571"/>
    <n v="660.02269999999999"/>
    <n v="63"/>
    <n v="173306"/>
    <n v="5.14"/>
    <n v="192"/>
    <x v="1"/>
    <x v="1"/>
    <x v="2"/>
  </r>
  <r>
    <s v="BM_-FtH3yd4"/>
    <s v="Blue Lock Only Has 1 Real Coach"/>
    <d v="2026-08-22T00:00:00"/>
    <n v="581"/>
    <n v="51893"/>
    <d v="1899-12-30T00:03:42"/>
    <n v="38.28"/>
    <n v="83759"/>
    <n v="3218.7943"/>
    <n v="193"/>
    <n v="602441"/>
    <n v="5.99"/>
    <n v="222"/>
    <x v="1"/>
    <x v="2"/>
    <x v="2"/>
  </r>
  <r>
    <s v="tsLxYAb1VHQ"/>
    <s v="Blue Lock’s Best Players’ Realistic FC25 Cards!"/>
    <d v="2025-07-05T00:00:00"/>
    <n v="660"/>
    <n v="74411"/>
    <d v="1899-12-30T00:03:50"/>
    <n v="34.97"/>
    <n v="76739"/>
    <n v="4771.7736999999997"/>
    <n v="252"/>
    <n v="849937"/>
    <n v="6.52"/>
    <n v="230"/>
    <x v="1"/>
    <x v="2"/>
    <x v="0"/>
  </r>
  <r>
    <s v="V8X7iwvsnwM"/>
    <s v="Blue Lock’s U-20 Formation Looks Insane… But Is It Tactical Genius?"/>
    <d v="2025-08-02T00:00:00"/>
    <n v="733"/>
    <n v="39311"/>
    <d v="1899-12-30T00:04:53"/>
    <n v="40.08"/>
    <n v="39483"/>
    <n v="3207.9297000000001"/>
    <n v="109"/>
    <n v="604348"/>
    <n v="4.97"/>
    <n v="293"/>
    <x v="2"/>
    <x v="0"/>
    <x v="1"/>
  </r>
  <r>
    <s v="Co2_WZ6pUxQ"/>
    <s v="Blue Lock's New Formation Makes NO Sense..."/>
    <d v="2026-07-25T00:00:00"/>
    <n v="624"/>
    <n v="64282"/>
    <d v="1899-12-30T00:04:02"/>
    <n v="38.79"/>
    <n v="67578"/>
    <n v="4323.4861000000001"/>
    <n v="139"/>
    <n v="838731"/>
    <n v="5.53"/>
    <n v="242"/>
    <x v="2"/>
    <x v="0"/>
    <x v="1"/>
  </r>
  <r>
    <s v="yuiEWjCRtW0"/>
    <s v="Ego(ism) Has Hit Rock Bottom - The Truth Behind Blue Lock’s Philosophies"/>
    <d v="2026-06-27T00:00:00"/>
    <n v="454"/>
    <n v="34389"/>
    <d v="1899-12-30T00:02:51"/>
    <n v="37.86"/>
    <n v="35938"/>
    <n v="1642.5473999999999"/>
    <n v="82"/>
    <n v="452495"/>
    <n v="5.57"/>
    <n v="171"/>
    <x v="1"/>
    <x v="1"/>
    <x v="2"/>
  </r>
  <r>
    <s v="OekaAIfpu4k"/>
    <s v="Every Blue Lock Player Ranked by Clutch Factor"/>
    <d v="2025-07-19T00:00:00"/>
    <n v="812"/>
    <n v="6595"/>
    <d v="1899-12-30T00:05:35"/>
    <n v="41.27"/>
    <n v="6604"/>
    <n v="613.90800000000002"/>
    <n v="18"/>
    <n v="124299"/>
    <n v="3.89"/>
    <n v="335"/>
    <x v="1"/>
    <x v="1"/>
    <x v="0"/>
  </r>
  <r>
    <s v="acfxU5MnYZk"/>
    <s v="Every Blue Lock Player Rated: Overrated, Underrated, or Fairly Rated?"/>
    <d v="2025-04-09T00:00:00"/>
    <n v="1330"/>
    <n v="21372"/>
    <d v="1899-12-30T00:06:43"/>
    <n v="30.33"/>
    <n v="21451"/>
    <n v="2394.8665999999998"/>
    <n v="78"/>
    <n v="300978"/>
    <n v="5.18"/>
    <n v="403"/>
    <x v="1"/>
    <x v="1"/>
    <x v="0"/>
  </r>
  <r>
    <s v="VXTR3aEmaD0"/>
    <s v="Every Blue Lock Player’s Realistic FC25 Card"/>
    <d v="2025-06-21T00:00:00"/>
    <n v="1786"/>
    <n v="290435"/>
    <d v="1899-12-30T00:05:03"/>
    <n v="17.02"/>
    <n v="294569"/>
    <n v="24526.451499999999"/>
    <n v="806"/>
    <n v="3379091"/>
    <n v="6.34"/>
    <n v="303"/>
    <x v="1"/>
    <x v="2"/>
    <x v="0"/>
  </r>
  <r>
    <s v="mFuKoAY25SI"/>
    <s v="Every Blue Lock Player’s True Position and Role Explained [UPDATED]"/>
    <d v="2025-04-27T00:00:00"/>
    <n v="1172"/>
    <n v="50578"/>
    <d v="1899-12-30T00:06:46"/>
    <n v="34.659999999999997"/>
    <n v="51658"/>
    <n v="5706.7194"/>
    <n v="336"/>
    <n v="780318"/>
    <n v="4.29"/>
    <n v="406"/>
    <x v="2"/>
    <x v="0"/>
    <x v="0"/>
  </r>
  <r>
    <s v="HLiQm6Pz6u4"/>
    <s v="Goodbye PNG Lock and Hello Blue Lock | What is next for Blue Lock"/>
    <d v="2024-12-31T00:00:00"/>
    <n v="181"/>
    <n v="2130"/>
    <d v="1899-12-30T00:01:12"/>
    <n v="40.17"/>
    <n v="2136"/>
    <n v="43.020099999999999"/>
    <n v="25"/>
    <n v="26985"/>
    <n v="5.97"/>
    <n v="72"/>
    <x v="1"/>
    <x v="1"/>
    <x v="1"/>
  </r>
  <r>
    <s v="Hmj3Mh-4gxM"/>
    <s v="How AI Rated Each Player From the Bastard Munchen vs FC Barcha Match"/>
    <d v="2025-02-10T00:00:00"/>
    <n v="483"/>
    <n v="7835"/>
    <d v="1899-12-30T00:03:26"/>
    <n v="42.74"/>
    <n v="7953"/>
    <n v="449.38060000000002"/>
    <n v="53"/>
    <n v="95669"/>
    <n v="4.3099999999999996"/>
    <n v="206"/>
    <x v="0"/>
    <x v="0"/>
    <x v="0"/>
  </r>
  <r>
    <s v="tCoQS8i3CFk"/>
    <s v="How AI Rated Each Player From The Blue Lock VS U20 Japan Match"/>
    <d v="2025-01-10T00:00:00"/>
    <n v="1102"/>
    <n v="243320"/>
    <d v="1899-12-30T00:06:55"/>
    <n v="37.549999999999997"/>
    <n v="268949"/>
    <n v="28070.854500000001"/>
    <n v="707"/>
    <n v="4714725"/>
    <n v="3.98"/>
    <n v="415"/>
    <x v="0"/>
    <x v="0"/>
    <x v="1"/>
  </r>
  <r>
    <s v="bNZ2Paqd9DM"/>
    <s v="How AI Rated Every Player from the Ubers vs Bastard Munchen Match"/>
    <d v="2025-03-24T00:00:00"/>
    <n v="608"/>
    <n v="6803"/>
    <d v="1899-12-30T00:04:14"/>
    <n v="41.84"/>
    <n v="6920"/>
    <n v="480.73039999999997"/>
    <n v="23"/>
    <n v="93828"/>
    <n v="4.68"/>
    <n v="254"/>
    <x v="0"/>
    <x v="0"/>
    <x v="0"/>
  </r>
  <r>
    <s v="5fFXkFaIcu0"/>
    <s v="How Scouts Would See AIKU | Realistic Analysis"/>
    <d v="2026-07-04T00:00:00"/>
    <n v="569"/>
    <n v="18208"/>
    <d v="1899-12-30T00:04:27"/>
    <n v="47.09"/>
    <n v="19584"/>
    <n v="1355.6391000000001"/>
    <n v="68"/>
    <n v="256240"/>
    <n v="4.9400000000000004"/>
    <n v="267"/>
    <x v="3"/>
    <x v="2"/>
    <x v="0"/>
  </r>
  <r>
    <s v="I9WhHQSqmmU"/>
    <s v="How Scouts Would See ALEXIS NESS | Realistic Analysis"/>
    <d v="2026-08-30T00:00:00"/>
    <n v="505"/>
    <n v="24022"/>
    <d v="1899-12-30T00:03:46"/>
    <n v="44.82"/>
    <n v="53667"/>
    <n v="1522.9526000000001"/>
    <n v="73"/>
    <n v="330401"/>
    <n v="4.95"/>
    <n v="226"/>
    <x v="3"/>
    <x v="2"/>
    <x v="0"/>
  </r>
  <r>
    <s v="Z2cz8jc0B6g"/>
    <s v="How Scouts Would See Barou Shoei [Realistic Analysis]"/>
    <d v="2025-11-01T00:00:00"/>
    <n v="789"/>
    <n v="43561"/>
    <d v="1899-12-30T00:05:35"/>
    <n v="42.49"/>
    <n v="45437"/>
    <n v="4057.4549000000002"/>
    <n v="205"/>
    <n v="688279"/>
    <n v="4.3899999999999997"/>
    <n v="335"/>
    <x v="3"/>
    <x v="2"/>
    <x v="0"/>
  </r>
  <r>
    <s v="YRnWJJcsSZI"/>
    <s v="How Scouts Would See CHARLES | Realistic Analysis"/>
    <d v="2026-08-02T00:00:00"/>
    <n v="532"/>
    <n v="23072"/>
    <d v="1899-12-30T00:03:58"/>
    <n v="44.91"/>
    <n v="25547"/>
    <n v="1532.0349000000001"/>
    <n v="356"/>
    <n v="319124"/>
    <n v="4.8499999999999996"/>
    <n v="238"/>
    <x v="3"/>
    <x v="2"/>
    <x v="0"/>
  </r>
  <r>
    <s v="w-5-3IuMr6w"/>
    <s v="How Scouts Would See HIORI | Realistic Analysis"/>
    <d v="2026-09-27T00:00:00"/>
    <n v="612"/>
    <n v="8874"/>
    <d v="1899-12-30T00:05:11"/>
    <n v="50.84"/>
    <n v="16638"/>
    <n v="770.05010000000004"/>
    <n v="30"/>
    <n v="112225"/>
    <n v="5.65"/>
    <n v="311"/>
    <x v="3"/>
    <x v="2"/>
    <x v="0"/>
  </r>
  <r>
    <s v="SNkW391eo9c"/>
    <s v="How Scouts Would See HUGO | Realistic Analysis"/>
    <d v="2026-05-09T00:00:00"/>
    <n v="591"/>
    <n v="30175"/>
    <d v="1899-12-30T00:04:34"/>
    <n v="46.45"/>
    <n v="32720"/>
    <n v="2301.8960999999999"/>
    <n v="96"/>
    <n v="360106"/>
    <n v="5.6"/>
    <n v="274"/>
    <x v="3"/>
    <x v="2"/>
    <x v="2"/>
  </r>
  <r>
    <s v="lBQpJe2pkB4"/>
    <s v="How Scouts Would See Isagi Yoichi [Realistic Analysis]"/>
    <d v="2025-08-23T00:00:00"/>
    <n v="677"/>
    <n v="196047"/>
    <d v="1899-12-30T00:04:24"/>
    <n v="39.04"/>
    <n v="202692"/>
    <n v="14397.21"/>
    <n v="1083"/>
    <n v="2861083"/>
    <n v="4.97"/>
    <n v="264"/>
    <x v="3"/>
    <x v="2"/>
    <x v="0"/>
  </r>
  <r>
    <s v="Lo8NogNFPic"/>
    <s v="How Scouts Would See JULIEN LOKI | Realistic Analysis"/>
    <d v="2026-08-15T00:00:00"/>
    <n v="666"/>
    <n v="33802"/>
    <d v="1899-12-30T00:04:40"/>
    <n v="42.13"/>
    <n v="47001"/>
    <n v="2640.2294999999999"/>
    <n v="189"/>
    <n v="511409"/>
    <n v="4.47"/>
    <n v="280"/>
    <x v="3"/>
    <x v="2"/>
    <x v="0"/>
  </r>
  <r>
    <s v="ZG0Si2Vu2Sg"/>
    <s v="How Scouts Would See Karasu Tabito | Realistic Analysis"/>
    <d v="2026-05-02T00:00:00"/>
    <n v="516"/>
    <n v="19346"/>
    <d v="1899-12-30T00:04:08"/>
    <n v="48.09"/>
    <n v="21636"/>
    <n v="1334.4702"/>
    <n v="68"/>
    <n v="261193"/>
    <n v="4.97"/>
    <n v="248"/>
    <x v="3"/>
    <x v="2"/>
    <x v="0"/>
  </r>
  <r>
    <s v="9H3edcmIEIc"/>
    <s v="How Scouts Would See Kunigami Rensuke | Realistic Analysis"/>
    <d v="2026-04-04T00:00:00"/>
    <n v="565"/>
    <n v="15504"/>
    <d v="1899-12-30T00:04:31"/>
    <n v="48.07"/>
    <n v="17215"/>
    <n v="1170.4114999999999"/>
    <n v="43"/>
    <n v="236411"/>
    <n v="4.6500000000000004"/>
    <n v="271"/>
    <x v="3"/>
    <x v="2"/>
    <x v="0"/>
  </r>
  <r>
    <s v=" -DIPHvPGTnY"/>
    <s v="How Scouts Would See LORENZO | Realistic Analysis"/>
    <d v="2026-06-20T00:00:00"/>
    <n v="624"/>
    <n v="51855"/>
    <d v="1899-12-30T00:04:12"/>
    <n v="40.4"/>
    <n v="59588"/>
    <n v="3635.0286999999998"/>
    <n v="225"/>
    <n v="702985"/>
    <n v="5.21"/>
    <n v="252"/>
    <x v="3"/>
    <x v="2"/>
    <x v="0"/>
  </r>
  <r>
    <s v="QC5-pXHkup8"/>
    <s v="How Scouts Would See Meguru Bachira [Realistic Analysis]"/>
    <d v="2025-12-27T00:00:00"/>
    <n v="731"/>
    <n v="47614"/>
    <d v="1899-12-30T00:05:08"/>
    <n v="42.16"/>
    <n v="49251"/>
    <n v="4076.6716999999999"/>
    <n v="307"/>
    <n v="740014"/>
    <n v="4.59"/>
    <n v="308"/>
    <x v="3"/>
    <x v="2"/>
    <x v="0"/>
  </r>
  <r>
    <s v="kJB70lEe1Gk"/>
    <s v="How Scouts Would See Michael Kaiser | Realistic Analysis"/>
    <d v="2026-03-21T00:00:00"/>
    <n v="584"/>
    <n v="36799"/>
    <d v="1899-12-30T00:04:27"/>
    <n v="45.75"/>
    <n v="40523"/>
    <n v="2732.3836000000001"/>
    <n v="126"/>
    <n v="415001"/>
    <n v="6.36"/>
    <n v="267"/>
    <x v="3"/>
    <x v="2"/>
    <x v="0"/>
  </r>
  <r>
    <s v="32867VjcFr4"/>
    <s v="How Scouts Would See NAGI | Realistic Analysis"/>
    <d v="2026-06-06T00:00:00"/>
    <n v="671"/>
    <n v="33125"/>
    <d v="1899-12-30T00:04:51"/>
    <n v="43.39"/>
    <n v="37055"/>
    <n v="2680.5043000000001"/>
    <n v="142"/>
    <n v="482140"/>
    <n v="4.79"/>
    <n v="291"/>
    <x v="3"/>
    <x v="2"/>
    <x v="0"/>
  </r>
  <r>
    <s v="jqBRpjzU27g"/>
    <s v="How Scouts Would See Onazi | Realistic Analysis"/>
    <d v="2026-07-19T00:00:00"/>
    <n v="683"/>
    <n v="13664"/>
    <d v="1899-12-30T00:05:19"/>
    <n v="46.72"/>
    <n v="14421"/>
    <n v="1211.4396999999999"/>
    <n v="58"/>
    <n v="201835"/>
    <n v="4.55"/>
    <n v="319"/>
    <x v="3"/>
    <x v="2"/>
    <x v="0"/>
  </r>
  <r>
    <s v="3zhQTsc_QLs"/>
    <s v="How Scouts Would See Reo Mikage [Realistic Analysis]"/>
    <d v="2026-01-17T00:00:00"/>
    <n v="834"/>
    <n v="23211"/>
    <d v="1899-12-30T00:05:51"/>
    <n v="42.11"/>
    <n v="24684"/>
    <n v="2264.7197999999999"/>
    <n v="98"/>
    <n v="340931"/>
    <n v="4.78"/>
    <n v="351"/>
    <x v="3"/>
    <x v="2"/>
    <x v="0"/>
  </r>
  <r>
    <s v="QctR4nSxTaQ"/>
    <s v="How Scouts Would See Rin Itoshi [Realistic Analysis]"/>
    <d v="2025-09-06T00:00:00"/>
    <n v="824"/>
    <n v="86438"/>
    <d v="1899-12-30T00:05:20"/>
    <n v="38.86"/>
    <n v="88607"/>
    <n v="7689.1917000000003"/>
    <n v="571"/>
    <n v="1273157"/>
    <n v="4.7"/>
    <n v="320"/>
    <x v="3"/>
    <x v="2"/>
    <x v="0"/>
  </r>
  <r>
    <s v="rPTRhV4QUmg"/>
    <s v="How Scouts Would See SAE ITOSHI | Realistic Analysis"/>
    <d v="2026-05-23T00:00:00"/>
    <n v="576"/>
    <n v="59555"/>
    <d v="1899-12-30T00:04:06"/>
    <n v="42.85"/>
    <n v="68800"/>
    <n v="4087.3661999999999"/>
    <n v="323"/>
    <n v="877693"/>
    <n v="5.12"/>
    <n v="246"/>
    <x v="3"/>
    <x v="2"/>
    <x v="0"/>
  </r>
  <r>
    <s v="_RKEI7-XQhE"/>
    <s v="How Scouts Would See Shidou Ryusei [Realistic Analysis]"/>
    <d v="2025-10-04T00:00:00"/>
    <n v="687"/>
    <n v="122088"/>
    <d v="1899-12-30T00:04:02"/>
    <n v="35.33"/>
    <n v="124300"/>
    <n v="8233.2451999999994"/>
    <n v="737"/>
    <n v="1744243"/>
    <n v="4.79"/>
    <n v="242"/>
    <x v="3"/>
    <x v="2"/>
    <x v="0"/>
  </r>
  <r>
    <s v="h7FivngySss"/>
    <s v="How Scouts Would See YUKIMIYA | Realistic Analysis"/>
    <d v="2026-09-13T00:00:00"/>
    <n v="543"/>
    <n v="12428"/>
    <d v="1899-12-30T00:04:34"/>
    <n v="50.57"/>
    <n v="22901"/>
    <n v="952.01840000000004"/>
    <n v="40"/>
    <n v="163825"/>
    <n v="5.22"/>
    <n v="274"/>
    <x v="3"/>
    <x v="2"/>
    <x v="0"/>
  </r>
  <r>
    <s v="wCtsMpElLTc"/>
    <s v="How You’d Actually Build Around Bachira Meguru [U20 Japan Team]"/>
    <d v="2026-01-03T00:00:00"/>
    <n v="432"/>
    <n v="7508"/>
    <d v="1899-12-30T00:03:34"/>
    <n v="49.69"/>
    <n v="7544"/>
    <n v="447.72449999999998"/>
    <n v="22"/>
    <n v="131266"/>
    <n v="4.2699999999999996"/>
    <n v="214"/>
    <x v="2"/>
    <x v="0"/>
    <x v="0"/>
  </r>
  <r>
    <s v="wJNxFRJMdFM"/>
    <s v="How You’d Actually Build Around Barou Shoei [U20 Japan Team]"/>
    <d v="2025-11-29T00:00:00"/>
    <n v="511"/>
    <n v="15231"/>
    <d v="1899-12-30T00:04:02"/>
    <n v="47.43"/>
    <n v="15330"/>
    <n v="1025.5288"/>
    <n v="54"/>
    <n v="249611"/>
    <n v="4.6100000000000003"/>
    <n v="242"/>
    <x v="2"/>
    <x v="0"/>
    <x v="0"/>
  </r>
  <r>
    <s v="RmM9E9VWtXg"/>
    <s v="How You’d Actually Build Around Chigiri Hyoma | U20 Japan Team"/>
    <d v="2026-03-07T00:00:00"/>
    <n v="300"/>
    <n v="4149"/>
    <d v="1899-12-30T00:02:36"/>
    <n v="52.1"/>
    <n v="4190"/>
    <n v="180.1463"/>
    <n v="7"/>
    <n v="76216"/>
    <n v="3.86"/>
    <n v="156"/>
    <x v="2"/>
    <x v="0"/>
    <x v="0"/>
  </r>
  <r>
    <s v="fQK-8Qj8tfY"/>
    <s v="How You’d Actually Build Around Reo Mikage | U20 Japan Team"/>
    <d v="2026-02-21T00:00:00"/>
    <n v="315"/>
    <n v="6276"/>
    <d v="1899-12-30T00:02:30"/>
    <n v="47.93"/>
    <n v="6352"/>
    <n v="263.24040000000002"/>
    <n v="18"/>
    <n v="101707"/>
    <n v="4.6100000000000003"/>
    <n v="150"/>
    <x v="2"/>
    <x v="0"/>
    <x v="0"/>
  </r>
  <r>
    <s v="fjopuLqE8tM"/>
    <s v="How You’d Actually Build Around Rin Itoshi [U20 Japan Team]"/>
    <d v="2025-09-20T00:00:00"/>
    <n v="674"/>
    <n v="11908"/>
    <d v="1899-12-30T00:05:03"/>
    <n v="45.06"/>
    <n v="12014"/>
    <n v="1004.702"/>
    <n v="39"/>
    <n v="177220"/>
    <n v="4.59"/>
    <n v="303"/>
    <x v="2"/>
    <x v="0"/>
    <x v="0"/>
  </r>
  <r>
    <s v="vmG3ZBoUdVw"/>
    <s v="How You’d Actually Build Around Shidou Ryusei [U20 Japan Team]"/>
    <d v="2025-10-18T00:00:00"/>
    <n v="534"/>
    <n v="16124"/>
    <d v="1899-12-30T00:04:11"/>
    <n v="47.07"/>
    <n v="16610"/>
    <n v="1125.8776"/>
    <n v="59"/>
    <n v="277039"/>
    <n v="4.2699999999999996"/>
    <n v="251"/>
    <x v="2"/>
    <x v="0"/>
    <x v="0"/>
  </r>
  <r>
    <s v="9qvY8ecPh8E"/>
    <s v="Ranking Every Coach In Blue Lock From WORST to BEST"/>
    <d v="2026-09-19T00:00:00"/>
    <n v="727"/>
    <n v="8943"/>
    <d v="1899-12-30T00:05:41"/>
    <n v="46.95"/>
    <n v="20245"/>
    <n v="852.33680000000004"/>
    <n v="13"/>
    <n v="154126"/>
    <n v="4.09"/>
    <n v="341"/>
    <x v="1"/>
    <x v="2"/>
    <x v="2"/>
  </r>
  <r>
    <s v="TOoCL0fCbPo"/>
    <s v="REALISTICALLY Ranking Every Player in the Blue Lock vs Nigeria U-20 Match"/>
    <d v="2025-11-15T00:00:00"/>
    <n v="1113"/>
    <n v="26655"/>
    <d v="1899-12-30T00:06:53"/>
    <n v="37.15"/>
    <n v="26748"/>
    <n v="3061.1640000000002"/>
    <n v="127"/>
    <n v="570209"/>
    <n v="3.57"/>
    <n v="413"/>
    <x v="0"/>
    <x v="0"/>
    <x v="1"/>
  </r>
  <r>
    <s v="zV4rygmP26A"/>
    <s v="REALISTICALLY Rating Every Player From Japan vs France"/>
    <d v="2026-05-30T00:00:00"/>
    <n v="600"/>
    <n v="16478"/>
    <d v="1899-12-30T00:04:37"/>
    <n v="46.27"/>
    <n v="16613"/>
    <n v="1270.6937"/>
    <n v="91"/>
    <n v="297318"/>
    <n v="3.99"/>
    <n v="277"/>
    <x v="0"/>
    <x v="0"/>
    <x v="1"/>
  </r>
  <r>
    <s v="NCSelVUBWa0"/>
    <s v="The Perfect Blue Lock Starting Lineup — If You Built It Around Isagi"/>
    <d v="2025-05-24T00:00:00"/>
    <n v="431"/>
    <n v="19943"/>
    <d v="1899-12-30T00:03:41"/>
    <n v="51.36"/>
    <n v="20262"/>
    <n v="1226.3905999999999"/>
    <n v="93"/>
    <n v="250096"/>
    <n v="5.53"/>
    <n v="221"/>
    <x v="2"/>
    <x v="0"/>
    <x v="0"/>
  </r>
  <r>
    <s v="BSk3TO34ucU"/>
    <s v="The Realistic Position of Every Blue Lock Player"/>
    <d v="2025-02-02T00:00:00"/>
    <n v="650"/>
    <n v="308038"/>
    <d v="1899-12-30T00:03:36"/>
    <n v="33.32"/>
    <n v="318806"/>
    <n v="18536.4156"/>
    <n v="654"/>
    <n v="4459246"/>
    <n v="5.29"/>
    <n v="216"/>
    <x v="2"/>
    <x v="0"/>
    <x v="0"/>
  </r>
  <r>
    <s v="PvBJkuEA9jc"/>
    <s v="This game was rigged... | Blue Lock vs U-20 Japan"/>
    <d v="2025-01-03T00:00:00"/>
    <n v="340"/>
    <n v="343445"/>
    <d v="1899-12-30T00:02:46"/>
    <n v="48.96"/>
    <n v="343630"/>
    <n v="15881.1441"/>
    <n v="864"/>
    <n v="4793107"/>
    <n v="5.77"/>
    <n v="166"/>
    <x v="0"/>
    <x v="0"/>
    <x v="1"/>
  </r>
  <r>
    <s v="NFbJXYFQMI8"/>
    <s v="This Lineup is the ONLY Way Blue Lock Wins the U20 World Cup"/>
    <d v="2025-05-10T00:00:00"/>
    <n v="519"/>
    <n v="18945"/>
    <d v="1899-12-30T00:03:37"/>
    <n v="41.98"/>
    <n v="19042"/>
    <n v="1146.5895"/>
    <n v="70"/>
    <n v="239152"/>
    <n v="6.07"/>
    <n v="217"/>
    <x v="4"/>
    <x v="0"/>
    <x v="1"/>
  </r>
  <r>
    <s v="xPP1bVv-BSc"/>
    <s v="This Wasn’t Plot Armor... | How &quot;Isagi Clones&quot; Explain His Success"/>
    <d v="2025-03-16T00:00:00"/>
    <n v="945"/>
    <n v="13522"/>
    <d v="1899-12-30T00:06:05"/>
    <n v="38.700000000000003"/>
    <n v="13543"/>
    <n v="1373.5764999999999"/>
    <n v="28"/>
    <n v="188427"/>
    <n v="4.32"/>
    <n v="365"/>
    <x v="1"/>
    <x v="1"/>
    <x v="2"/>
  </r>
  <r>
    <s v="sPUGX7DZbGk"/>
    <s v="What Blue Lock Gets RIGHT and WRONG About Football"/>
    <d v="2026-07-11T00:00:00"/>
    <n v="705"/>
    <n v="17637"/>
    <d v="1899-12-30T00:05:15"/>
    <n v="44.72"/>
    <n v="20125"/>
    <n v="1545.7958000000001"/>
    <n v="59"/>
    <n v="230187"/>
    <n v="4.99"/>
    <n v="315"/>
    <x v="1"/>
    <x v="0"/>
    <x v="0"/>
  </r>
  <r>
    <s v="WhwYHJRoDk8"/>
    <s v="Who Is Blue Lock’s MOST Dangerous Scorer?"/>
    <d v="2026-05-16T00:00:00"/>
    <n v="742"/>
    <n v="12163"/>
    <d v="1899-12-30T00:05:41"/>
    <n v="45.99"/>
    <n v="12987"/>
    <n v="1153.1944000000001"/>
    <n v="39"/>
    <n v="179912"/>
    <n v="4.2"/>
    <n v="341"/>
    <x v="1"/>
    <x v="2"/>
    <x v="0"/>
  </r>
  <r>
    <s v="k5E4wve4HBQ"/>
    <s v="Why Blue Lock Never Stood a Real Chance"/>
    <d v="2026-06-13T00:00:00"/>
    <n v="580"/>
    <n v="121012"/>
    <d v="1899-12-30T00:03:06"/>
    <n v="32.229999999999997"/>
    <n v="126417"/>
    <n v="6285.9002"/>
    <n v="314"/>
    <n v="1619171"/>
    <n v="5.28"/>
    <n v="186"/>
    <x v="0"/>
    <x v="2"/>
    <x v="1"/>
  </r>
  <r>
    <s v="l3NDLHRuPA0"/>
    <s v="Will Chigiri Become a Failed Winger? | Blue Lock Scout Report"/>
    <d v="2026-01-31T00:00:00"/>
    <n v="544"/>
    <n v="11027"/>
    <d v="1899-12-30T00:04:15"/>
    <n v="46.91"/>
    <n v="11749"/>
    <n v="782.05340000000001"/>
    <n v="29"/>
    <n v="173615"/>
    <n v="4.54"/>
    <n v="255"/>
    <x v="3"/>
    <x v="2"/>
    <x v="0"/>
  </r>
  <r>
    <s v="YT9q2MdVvP4"/>
    <s v="You HATED My Blue Lock Starting XI... So I made a Tactical MASTERPIECE"/>
    <d v="2025-05-17T00:00:00"/>
    <n v="506"/>
    <n v="13519"/>
    <d v="1899-12-30T00:03:41"/>
    <n v="43.74"/>
    <n v="13547"/>
    <n v="831.13379999999995"/>
    <n v="48"/>
    <n v="181774"/>
    <n v="5.43"/>
    <n v="221"/>
    <x v="4"/>
    <x v="2"/>
    <x v="1"/>
  </r>
  <r>
    <s v="srW1fVrqmqQ"/>
    <s v="You Sent Your Blue Lock Hot Takes… And I Actually Agreed!?"/>
    <d v="2025-06-07T00:00:00"/>
    <n v="849"/>
    <n v="6983"/>
    <d v="1899-12-30T00:06:23"/>
    <n v="45.13"/>
    <n v="7013"/>
    <n v="743.18520000000001"/>
    <n v="60"/>
    <n v="137424"/>
    <n v="3.55"/>
    <n v="383"/>
    <x v="1"/>
    <x v="1"/>
    <x v="0"/>
  </r>
  <r>
    <s v="wrAGzYhRLDk"/>
    <s v="You Think Isagi's a Striker? Think Again..."/>
    <d v="2025-04-18T00:00:00"/>
    <n v="601"/>
    <n v="8387"/>
    <d v="1899-12-30T00:03:19"/>
    <n v="33.18"/>
    <n v="8397"/>
    <n v="464.58179999999999"/>
    <n v="35"/>
    <n v="95024"/>
    <n v="6.16"/>
    <n v="199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80AC1-9C90-44A1-ADEF-9FC19410A39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5" firstHeaderRow="1" firstDataRow="1" firstDataCol="1"/>
  <pivotFields count="16">
    <pivotField dataField="1" showAll="0"/>
    <pivotField showAll="0"/>
    <pivotField numFmtId="14" showAll="0"/>
    <pivotField showAll="0"/>
    <pivotField showAll="0"/>
    <pivotField numFmtId="46"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de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30C5FA-5557-49BF-9576-C1C2C1E2C9D6}" autoFormatId="16" applyNumberFormats="0" applyBorderFormats="0" applyFontFormats="0" applyPatternFormats="0" applyAlignmentFormats="0" applyWidthHeightFormats="0">
  <queryTableRefresh nextId="14">
    <queryTableFields count="13">
      <queryTableField id="1" name="Content" tableColumnId="1"/>
      <queryTableField id="2" name="Video title" tableColumnId="2"/>
      <queryTableField id="3" name="Video publish time" tableColumnId="3"/>
      <queryTableField id="4" name="video_duration_seconds" tableColumnId="4"/>
      <queryTableField id="5" name="Engaged views" tableColumnId="5"/>
      <queryTableField id="6" name="Average view duration" tableColumnId="6"/>
      <queryTableField id="7" name="Average percentage viewed (%)" tableColumnId="7"/>
      <queryTableField id="8" name="Views" tableColumnId="8"/>
      <queryTableField id="9" name="Watch time (hours)" tableColumnId="9"/>
      <queryTableField id="10" name="Subscribers" tableColumnId="10"/>
      <queryTableField id="11" name="Thumbnail impressions" tableColumnId="11"/>
      <queryTableField id="12" name="Thumbnail click-through rate (%)" tableColumnId="12"/>
      <queryTableField id="13" name="avd_second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0E29A-95D6-4669-91C8-FDD00109D317}" name="Table_data" displayName="Table_data" ref="A1:M59" tableType="queryTable" totalsRowShown="0">
  <autoFilter ref="A1:M59" xr:uid="{39E0E29A-95D6-4669-91C8-FDD00109D317}"/>
  <tableColumns count="13">
    <tableColumn id="1" xr3:uid="{053BE77E-9F61-4BDD-AE82-72157BFF0E1B}" uniqueName="1" name="Content" queryTableFieldId="1" dataDxfId="8"/>
    <tableColumn id="2" xr3:uid="{E420D802-92D9-4375-863E-47FDF0530960}" uniqueName="2" name="Video title" queryTableFieldId="2" dataDxfId="7"/>
    <tableColumn id="3" xr3:uid="{A83652AC-DC60-4558-894C-EB94C039D093}" uniqueName="3" name="Video publish time" queryTableFieldId="3" dataDxfId="6"/>
    <tableColumn id="4" xr3:uid="{925D61CE-F5DA-4F35-81C6-8C5EB1DD75B5}" uniqueName="4" name="video_duration_seconds" queryTableFieldId="4"/>
    <tableColumn id="5" xr3:uid="{F5B0C5C6-E2D1-4C18-A2BA-B679E2795D48}" uniqueName="5" name="Engaged views" queryTableFieldId="5"/>
    <tableColumn id="6" xr3:uid="{43B616D9-7676-485C-B05F-348AAB79053C}" uniqueName="6" name="Average view duration" queryTableFieldId="6" dataDxfId="5"/>
    <tableColumn id="7" xr3:uid="{5052CDC5-4CF6-41E4-BDA7-FD351F59D40A}" uniqueName="7" name="Average percentage viewed (%)" queryTableFieldId="7"/>
    <tableColumn id="8" xr3:uid="{3583FED4-8600-493C-B2BF-E2167B57E5CB}" uniqueName="8" name="Views" queryTableFieldId="8"/>
    <tableColumn id="9" xr3:uid="{5A0C63CD-2965-4351-BDD0-7CFAF7226846}" uniqueName="9" name="Watch time (hours)" queryTableFieldId="9"/>
    <tableColumn id="10" xr3:uid="{032203FB-05F9-450C-BCAF-348419EE0AD9}" uniqueName="10" name="Subscribers" queryTableFieldId="10"/>
    <tableColumn id="11" xr3:uid="{F18D46B8-09DF-4BC6-8458-3493780B221C}" uniqueName="11" name="Thumbnail impressions" queryTableFieldId="11"/>
    <tableColumn id="12" xr3:uid="{CAF1CB49-80D4-4337-BEFD-42AFE187F3A9}" uniqueName="12" name="Thumbnail click-through rate (%)" queryTableFieldId="12"/>
    <tableColumn id="13" xr3:uid="{849768FC-A949-452C-A5F8-4FB3A12FCA82}" uniqueName="13" name="avd_seconds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E70698-687B-49CA-A984-10B0A7028B1B}" name="tbl_videos" displayName="tbl_videos" ref="A1:R59" totalsRowShown="0">
  <autoFilter ref="A1:R59" xr:uid="{27E70698-687B-49CA-A984-10B0A7028B1B}"/>
  <sortState xmlns:xlrd2="http://schemas.microsoft.com/office/spreadsheetml/2017/richdata2" ref="A2:R59">
    <sortCondition descending="1" ref="R1:R59"/>
  </sortState>
  <tableColumns count="18">
    <tableColumn id="1" xr3:uid="{E4A1C0E9-3A23-4885-B939-D634699E83CD}" name="video_id"/>
    <tableColumn id="2" xr3:uid="{F74897C2-E2EB-42E1-AE8F-1A6E0C310F7E}" name="video_title"/>
    <tableColumn id="3" xr3:uid="{3746B118-2089-4EF4-82C5-776228181DB0}" name="publish_date" dataDxfId="4"/>
    <tableColumn id="4" xr3:uid="{5F39146F-494D-4375-A6C2-F286D72A8BEB}" name="video_duration_seconds"/>
    <tableColumn id="5" xr3:uid="{ACE6A93E-95EC-463E-AC2D-7B60556668AE}" name="engaged_views"/>
    <tableColumn id="6" xr3:uid="{B19B2552-F03A-46E5-AEE6-765AF7F860EE}" name="avg_view_duration" dataDxfId="3"/>
    <tableColumn id="7" xr3:uid="{980B237C-5B5D-41F4-86BE-E3FBFE6EB3AC}" name="avg_percentage_viewed"/>
    <tableColumn id="8" xr3:uid="{05F399AE-4F03-4377-BCA8-6C44FB8BCC0D}" name="views"/>
    <tableColumn id="9" xr3:uid="{6A9413AB-A7F6-45A6-9013-CAD3CD11F61C}" name="watch_time_hours"/>
    <tableColumn id="10" xr3:uid="{F3FA5049-02E7-4F19-9CBF-81A9709AE49D}" name="subscribers_gained"/>
    <tableColumn id="11" xr3:uid="{7B889C79-85BD-41BB-92EE-F8AC64FDFEA7}" name="impressions"/>
    <tableColumn id="12" xr3:uid="{E4CEB2BC-650B-4F41-83CC-34827ABBA18A}" name="ctr"/>
    <tableColumn id="13" xr3:uid="{3DE5A38E-9865-4FD5-89B6-65C4137CB357}" name="avd_seconds"/>
    <tableColumn id="14" xr3:uid="{8DCEB431-F004-4A65-B757-5798F3907349}" name="content_type"/>
    <tableColumn id="15" xr3:uid="{FD849346-002E-490F-B3F9-0C3F09B39346}" name="football_relevance"/>
    <tableColumn id="16" xr3:uid="{02B8D4B7-FEDD-441E-9DE7-427DD1E01E43}" name="release_relevance"/>
    <tableColumn id="17" xr3:uid="{18BB8590-7E3B-449A-9A36-863ED988DAB3}" name="avd_duration_ratio" dataDxfId="2">
      <calculatedColumnFormula>IFERROR(M2/D2,"")</calculatedColumnFormula>
    </tableColumn>
    <tableColumn id="18" xr3:uid="{DDE56653-ADC4-4D3F-B824-14675DE3C6F8}" name="rentention_difference" dataDxfId="1">
      <calculatedColumnFormula>ABS(Q2*100-G2)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BB25-765A-43AF-A6CB-57C1188111CD}">
  <dimension ref="A1:M59"/>
  <sheetViews>
    <sheetView workbookViewId="0">
      <selection sqref="A1:M59"/>
    </sheetView>
  </sheetViews>
  <sheetFormatPr defaultRowHeight="15" x14ac:dyDescent="0.25"/>
  <cols>
    <col min="1" max="1" width="15.140625" bestFit="1" customWidth="1"/>
    <col min="2" max="2" width="81.140625" bestFit="1" customWidth="1"/>
    <col min="3" max="3" width="20.42578125" bestFit="1" customWidth="1"/>
    <col min="4" max="4" width="25.5703125" bestFit="1" customWidth="1"/>
    <col min="5" max="5" width="16.5703125" bestFit="1" customWidth="1"/>
    <col min="6" max="6" width="23.28515625" bestFit="1" customWidth="1"/>
    <col min="7" max="7" width="32" bestFit="1" customWidth="1"/>
    <col min="8" max="8" width="8.5703125" bestFit="1" customWidth="1"/>
    <col min="9" max="9" width="20.85546875" bestFit="1" customWidth="1"/>
    <col min="10" max="10" width="14" bestFit="1" customWidth="1"/>
    <col min="11" max="11" width="24.7109375" bestFit="1" customWidth="1"/>
    <col min="12" max="12" width="33.140625" bestFit="1" customWidth="1"/>
    <col min="13" max="13" width="14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s="1">
        <v>45660</v>
      </c>
      <c r="D2">
        <v>340</v>
      </c>
      <c r="E2">
        <v>343445</v>
      </c>
      <c r="F2" s="2">
        <v>1.9212962962962964E-3</v>
      </c>
      <c r="G2">
        <v>48.96</v>
      </c>
      <c r="H2">
        <v>343630</v>
      </c>
      <c r="I2">
        <v>15881.1441</v>
      </c>
      <c r="J2">
        <v>864</v>
      </c>
      <c r="K2">
        <v>4793107</v>
      </c>
      <c r="L2">
        <v>5.77</v>
      </c>
      <c r="M2">
        <v>166</v>
      </c>
    </row>
    <row r="3" spans="1:13" x14ac:dyDescent="0.25">
      <c r="A3" t="s">
        <v>15</v>
      </c>
      <c r="B3" t="s">
        <v>16</v>
      </c>
      <c r="C3" s="1">
        <v>45690</v>
      </c>
      <c r="D3">
        <v>650</v>
      </c>
      <c r="E3">
        <v>308038</v>
      </c>
      <c r="F3" s="2">
        <v>2.5000000000000001E-3</v>
      </c>
      <c r="G3">
        <v>33.32</v>
      </c>
      <c r="H3">
        <v>318806</v>
      </c>
      <c r="I3">
        <v>18536.4156</v>
      </c>
      <c r="J3">
        <v>654</v>
      </c>
      <c r="K3">
        <v>4459246</v>
      </c>
      <c r="L3">
        <v>5.29</v>
      </c>
      <c r="M3">
        <v>216</v>
      </c>
    </row>
    <row r="4" spans="1:13" x14ac:dyDescent="0.25">
      <c r="A4" t="s">
        <v>17</v>
      </c>
      <c r="B4" t="s">
        <v>18</v>
      </c>
      <c r="C4" s="1">
        <v>45829</v>
      </c>
      <c r="D4">
        <v>1786</v>
      </c>
      <c r="E4">
        <v>290435</v>
      </c>
      <c r="F4" s="2">
        <v>3.5069444444444445E-3</v>
      </c>
      <c r="G4">
        <v>17.02</v>
      </c>
      <c r="H4">
        <v>294569</v>
      </c>
      <c r="I4">
        <v>24526.451499999999</v>
      </c>
      <c r="J4">
        <v>806</v>
      </c>
      <c r="K4">
        <v>3379091</v>
      </c>
      <c r="L4">
        <v>6.34</v>
      </c>
      <c r="M4">
        <v>303</v>
      </c>
    </row>
    <row r="5" spans="1:13" x14ac:dyDescent="0.25">
      <c r="A5" t="s">
        <v>19</v>
      </c>
      <c r="B5" t="s">
        <v>20</v>
      </c>
      <c r="C5" s="1">
        <v>45667</v>
      </c>
      <c r="D5">
        <v>1102</v>
      </c>
      <c r="E5">
        <v>243320</v>
      </c>
      <c r="F5" s="2">
        <v>4.8032407407407407E-3</v>
      </c>
      <c r="G5">
        <v>37.549999999999997</v>
      </c>
      <c r="H5">
        <v>268949</v>
      </c>
      <c r="I5">
        <v>28070.854500000001</v>
      </c>
      <c r="J5">
        <v>707</v>
      </c>
      <c r="K5">
        <v>4714725</v>
      </c>
      <c r="L5">
        <v>3.98</v>
      </c>
      <c r="M5">
        <v>415</v>
      </c>
    </row>
    <row r="6" spans="1:13" x14ac:dyDescent="0.25">
      <c r="A6" t="s">
        <v>21</v>
      </c>
      <c r="B6" t="s">
        <v>22</v>
      </c>
      <c r="C6" s="1">
        <v>45892</v>
      </c>
      <c r="D6">
        <v>677</v>
      </c>
      <c r="E6">
        <v>196047</v>
      </c>
      <c r="F6" s="2">
        <v>3.0555555555555557E-3</v>
      </c>
      <c r="G6">
        <v>39.04</v>
      </c>
      <c r="H6">
        <v>202692</v>
      </c>
      <c r="I6">
        <v>14397.21</v>
      </c>
      <c r="J6">
        <v>1083</v>
      </c>
      <c r="K6">
        <v>2861083</v>
      </c>
      <c r="L6">
        <v>4.97</v>
      </c>
      <c r="M6">
        <v>264</v>
      </c>
    </row>
    <row r="7" spans="1:13" x14ac:dyDescent="0.25">
      <c r="A7" t="s">
        <v>23</v>
      </c>
      <c r="B7" t="s">
        <v>24</v>
      </c>
      <c r="C7" s="1">
        <v>45934</v>
      </c>
      <c r="D7">
        <v>687</v>
      </c>
      <c r="E7">
        <v>122088</v>
      </c>
      <c r="F7" s="2">
        <v>2.8009259259259259E-3</v>
      </c>
      <c r="G7">
        <v>35.33</v>
      </c>
      <c r="H7">
        <v>124300</v>
      </c>
      <c r="I7">
        <v>8233.2451999999994</v>
      </c>
      <c r="J7">
        <v>737</v>
      </c>
      <c r="K7">
        <v>1744243</v>
      </c>
      <c r="L7">
        <v>4.79</v>
      </c>
      <c r="M7">
        <v>242</v>
      </c>
    </row>
    <row r="8" spans="1:13" x14ac:dyDescent="0.25">
      <c r="A8" t="s">
        <v>25</v>
      </c>
      <c r="B8" t="s">
        <v>26</v>
      </c>
      <c r="C8" s="1">
        <v>46186</v>
      </c>
      <c r="D8">
        <v>580</v>
      </c>
      <c r="E8">
        <v>121012</v>
      </c>
      <c r="F8" s="2">
        <v>2.1527777777777778E-3</v>
      </c>
      <c r="G8">
        <v>32.229999999999997</v>
      </c>
      <c r="H8">
        <v>126417</v>
      </c>
      <c r="I8">
        <v>6285.9002</v>
      </c>
      <c r="J8">
        <v>314</v>
      </c>
      <c r="K8">
        <v>1619171</v>
      </c>
      <c r="L8">
        <v>5.28</v>
      </c>
      <c r="M8">
        <v>186</v>
      </c>
    </row>
    <row r="9" spans="1:13" x14ac:dyDescent="0.25">
      <c r="A9" t="s">
        <v>27</v>
      </c>
      <c r="B9" t="s">
        <v>28</v>
      </c>
      <c r="C9" s="1">
        <v>45906</v>
      </c>
      <c r="D9">
        <v>824</v>
      </c>
      <c r="E9">
        <v>86438</v>
      </c>
      <c r="F9" s="2">
        <v>3.7037037037037038E-3</v>
      </c>
      <c r="G9">
        <v>38.86</v>
      </c>
      <c r="H9">
        <v>88607</v>
      </c>
      <c r="I9">
        <v>7689.1917000000003</v>
      </c>
      <c r="J9">
        <v>571</v>
      </c>
      <c r="K9">
        <v>1273157</v>
      </c>
      <c r="L9">
        <v>4.7</v>
      </c>
      <c r="M9">
        <v>320</v>
      </c>
    </row>
    <row r="10" spans="1:13" x14ac:dyDescent="0.25">
      <c r="A10" t="s">
        <v>29</v>
      </c>
      <c r="B10" t="s">
        <v>30</v>
      </c>
      <c r="C10" s="1">
        <v>45843</v>
      </c>
      <c r="D10">
        <v>660</v>
      </c>
      <c r="E10">
        <v>74411</v>
      </c>
      <c r="F10" s="2">
        <v>2.662037037037037E-3</v>
      </c>
      <c r="G10">
        <v>34.97</v>
      </c>
      <c r="H10">
        <v>76739</v>
      </c>
      <c r="I10">
        <v>4771.7736999999997</v>
      </c>
      <c r="J10">
        <v>252</v>
      </c>
      <c r="K10">
        <v>849937</v>
      </c>
      <c r="L10">
        <v>6.52</v>
      </c>
      <c r="M10">
        <v>230</v>
      </c>
    </row>
    <row r="11" spans="1:13" x14ac:dyDescent="0.25">
      <c r="A11" t="s">
        <v>31</v>
      </c>
      <c r="B11" t="s">
        <v>32</v>
      </c>
      <c r="C11" s="1">
        <v>46228</v>
      </c>
      <c r="D11">
        <v>624</v>
      </c>
      <c r="E11">
        <v>64282</v>
      </c>
      <c r="F11" s="2">
        <v>2.8009259259259259E-3</v>
      </c>
      <c r="G11">
        <v>38.79</v>
      </c>
      <c r="H11">
        <v>67578</v>
      </c>
      <c r="I11">
        <v>4323.4861000000001</v>
      </c>
      <c r="J11">
        <v>139</v>
      </c>
      <c r="K11">
        <v>838731</v>
      </c>
      <c r="L11">
        <v>5.53</v>
      </c>
      <c r="M11">
        <v>242</v>
      </c>
    </row>
    <row r="12" spans="1:13" x14ac:dyDescent="0.25">
      <c r="A12" t="s">
        <v>33</v>
      </c>
      <c r="B12" t="s">
        <v>34</v>
      </c>
      <c r="C12" s="1">
        <v>46165</v>
      </c>
      <c r="D12">
        <v>576</v>
      </c>
      <c r="E12">
        <v>59555</v>
      </c>
      <c r="F12" s="2">
        <v>2.8472222222222223E-3</v>
      </c>
      <c r="G12">
        <v>42.85</v>
      </c>
      <c r="H12">
        <v>68800</v>
      </c>
      <c r="I12">
        <v>4087.3661999999999</v>
      </c>
      <c r="J12">
        <v>323</v>
      </c>
      <c r="K12">
        <v>877693</v>
      </c>
      <c r="L12">
        <v>5.12</v>
      </c>
      <c r="M12">
        <v>246</v>
      </c>
    </row>
    <row r="13" spans="1:13" x14ac:dyDescent="0.25">
      <c r="A13" t="s">
        <v>35</v>
      </c>
      <c r="B13" t="s">
        <v>36</v>
      </c>
      <c r="C13" s="1">
        <v>46256</v>
      </c>
      <c r="D13">
        <v>581</v>
      </c>
      <c r="E13">
        <v>51893</v>
      </c>
      <c r="F13" s="2">
        <v>2.5694444444444445E-3</v>
      </c>
      <c r="G13">
        <v>38.28</v>
      </c>
      <c r="H13">
        <v>83759</v>
      </c>
      <c r="I13">
        <v>3218.7943</v>
      </c>
      <c r="J13">
        <v>193</v>
      </c>
      <c r="K13">
        <v>602441</v>
      </c>
      <c r="L13">
        <v>5.99</v>
      </c>
      <c r="M13">
        <v>222</v>
      </c>
    </row>
    <row r="14" spans="1:13" x14ac:dyDescent="0.25">
      <c r="A14" t="s">
        <v>37</v>
      </c>
      <c r="B14" t="s">
        <v>38</v>
      </c>
      <c r="C14" s="1">
        <v>46193</v>
      </c>
      <c r="D14">
        <v>624</v>
      </c>
      <c r="E14">
        <v>51855</v>
      </c>
      <c r="F14" s="2">
        <v>2.9166666666666668E-3</v>
      </c>
      <c r="G14">
        <v>40.4</v>
      </c>
      <c r="H14">
        <v>59588</v>
      </c>
      <c r="I14">
        <v>3635.0286999999998</v>
      </c>
      <c r="J14">
        <v>225</v>
      </c>
      <c r="K14">
        <v>702985</v>
      </c>
      <c r="L14">
        <v>5.21</v>
      </c>
      <c r="M14">
        <v>252</v>
      </c>
    </row>
    <row r="15" spans="1:13" x14ac:dyDescent="0.25">
      <c r="A15" t="s">
        <v>39</v>
      </c>
      <c r="B15" t="s">
        <v>40</v>
      </c>
      <c r="C15" s="1">
        <v>45774</v>
      </c>
      <c r="D15">
        <v>1172</v>
      </c>
      <c r="E15">
        <v>50578</v>
      </c>
      <c r="F15" s="2">
        <v>4.6990740740740743E-3</v>
      </c>
      <c r="G15">
        <v>34.659999999999997</v>
      </c>
      <c r="H15">
        <v>51658</v>
      </c>
      <c r="I15">
        <v>5706.7194</v>
      </c>
      <c r="J15">
        <v>336</v>
      </c>
      <c r="K15">
        <v>780318</v>
      </c>
      <c r="L15">
        <v>4.29</v>
      </c>
      <c r="M15">
        <v>406</v>
      </c>
    </row>
    <row r="16" spans="1:13" x14ac:dyDescent="0.25">
      <c r="A16" t="s">
        <v>41</v>
      </c>
      <c r="B16" t="s">
        <v>42</v>
      </c>
      <c r="C16" s="1">
        <v>46018</v>
      </c>
      <c r="D16">
        <v>731</v>
      </c>
      <c r="E16">
        <v>47614</v>
      </c>
      <c r="F16" s="2">
        <v>3.5648148148148149E-3</v>
      </c>
      <c r="G16">
        <v>42.16</v>
      </c>
      <c r="H16">
        <v>49251</v>
      </c>
      <c r="I16">
        <v>4076.6716999999999</v>
      </c>
      <c r="J16">
        <v>307</v>
      </c>
      <c r="K16">
        <v>740014</v>
      </c>
      <c r="L16">
        <v>4.59</v>
      </c>
      <c r="M16">
        <v>308</v>
      </c>
    </row>
    <row r="17" spans="1:13" x14ac:dyDescent="0.25">
      <c r="A17" t="s">
        <v>43</v>
      </c>
      <c r="B17" t="s">
        <v>44</v>
      </c>
      <c r="C17" s="1">
        <v>45962</v>
      </c>
      <c r="D17">
        <v>789</v>
      </c>
      <c r="E17">
        <v>43561</v>
      </c>
      <c r="F17" s="2">
        <v>3.8773148148148148E-3</v>
      </c>
      <c r="G17">
        <v>42.49</v>
      </c>
      <c r="H17">
        <v>45437</v>
      </c>
      <c r="I17">
        <v>4057.4549000000002</v>
      </c>
      <c r="J17">
        <v>205</v>
      </c>
      <c r="K17">
        <v>688279</v>
      </c>
      <c r="L17">
        <v>4.3899999999999997</v>
      </c>
      <c r="M17">
        <v>335</v>
      </c>
    </row>
    <row r="18" spans="1:13" x14ac:dyDescent="0.25">
      <c r="A18" t="s">
        <v>45</v>
      </c>
      <c r="B18" t="s">
        <v>46</v>
      </c>
      <c r="C18" s="1">
        <v>45871</v>
      </c>
      <c r="D18">
        <v>733</v>
      </c>
      <c r="E18">
        <v>39311</v>
      </c>
      <c r="F18" s="2">
        <v>3.3912037037037036E-3</v>
      </c>
      <c r="G18">
        <v>40.08</v>
      </c>
      <c r="H18">
        <v>39483</v>
      </c>
      <c r="I18">
        <v>3207.9297000000001</v>
      </c>
      <c r="J18">
        <v>109</v>
      </c>
      <c r="K18">
        <v>604348</v>
      </c>
      <c r="L18">
        <v>4.97</v>
      </c>
      <c r="M18">
        <v>293</v>
      </c>
    </row>
    <row r="19" spans="1:13" x14ac:dyDescent="0.25">
      <c r="A19" t="s">
        <v>47</v>
      </c>
      <c r="B19" t="s">
        <v>48</v>
      </c>
      <c r="C19" s="1">
        <v>46102</v>
      </c>
      <c r="D19">
        <v>584</v>
      </c>
      <c r="E19">
        <v>36799</v>
      </c>
      <c r="F19" s="2">
        <v>3.0902777777777777E-3</v>
      </c>
      <c r="G19">
        <v>45.75</v>
      </c>
      <c r="H19">
        <v>40523</v>
      </c>
      <c r="I19">
        <v>2732.3836000000001</v>
      </c>
      <c r="J19">
        <v>126</v>
      </c>
      <c r="K19">
        <v>415001</v>
      </c>
      <c r="L19">
        <v>6.36</v>
      </c>
      <c r="M19">
        <v>267</v>
      </c>
    </row>
    <row r="20" spans="1:13" x14ac:dyDescent="0.25">
      <c r="A20" t="s">
        <v>49</v>
      </c>
      <c r="B20" t="s">
        <v>50</v>
      </c>
      <c r="C20" s="1">
        <v>46200</v>
      </c>
      <c r="D20">
        <v>454</v>
      </c>
      <c r="E20">
        <v>34389</v>
      </c>
      <c r="F20" s="2">
        <v>1.9791666666666668E-3</v>
      </c>
      <c r="G20">
        <v>37.86</v>
      </c>
      <c r="H20">
        <v>35938</v>
      </c>
      <c r="I20">
        <v>1642.5473999999999</v>
      </c>
      <c r="J20">
        <v>82</v>
      </c>
      <c r="K20">
        <v>452495</v>
      </c>
      <c r="L20">
        <v>5.57</v>
      </c>
      <c r="M20">
        <v>171</v>
      </c>
    </row>
    <row r="21" spans="1:13" x14ac:dyDescent="0.25">
      <c r="A21" t="s">
        <v>51</v>
      </c>
      <c r="B21" t="s">
        <v>52</v>
      </c>
      <c r="C21" s="1">
        <v>46249</v>
      </c>
      <c r="D21">
        <v>666</v>
      </c>
      <c r="E21">
        <v>33802</v>
      </c>
      <c r="F21" s="2">
        <v>3.2407407407407406E-3</v>
      </c>
      <c r="G21">
        <v>42.13</v>
      </c>
      <c r="H21">
        <v>47001</v>
      </c>
      <c r="I21">
        <v>2640.2294999999999</v>
      </c>
      <c r="J21">
        <v>189</v>
      </c>
      <c r="K21">
        <v>511409</v>
      </c>
      <c r="L21">
        <v>4.47</v>
      </c>
      <c r="M21">
        <v>280</v>
      </c>
    </row>
    <row r="22" spans="1:13" x14ac:dyDescent="0.25">
      <c r="A22" t="s">
        <v>53</v>
      </c>
      <c r="B22" t="s">
        <v>54</v>
      </c>
      <c r="C22" s="1">
        <v>46179</v>
      </c>
      <c r="D22">
        <v>671</v>
      </c>
      <c r="E22">
        <v>33125</v>
      </c>
      <c r="F22" s="2">
        <v>3.3680555555555556E-3</v>
      </c>
      <c r="G22">
        <v>43.39</v>
      </c>
      <c r="H22">
        <v>37055</v>
      </c>
      <c r="I22">
        <v>2680.5043000000001</v>
      </c>
      <c r="J22">
        <v>142</v>
      </c>
      <c r="K22">
        <v>482140</v>
      </c>
      <c r="L22">
        <v>4.79</v>
      </c>
      <c r="M22">
        <v>291</v>
      </c>
    </row>
    <row r="23" spans="1:13" x14ac:dyDescent="0.25">
      <c r="A23" t="s">
        <v>55</v>
      </c>
      <c r="B23" t="s">
        <v>56</v>
      </c>
      <c r="C23" s="1">
        <v>46151</v>
      </c>
      <c r="D23">
        <v>591</v>
      </c>
      <c r="E23">
        <v>30175</v>
      </c>
      <c r="F23" s="2">
        <v>3.1712962962962962E-3</v>
      </c>
      <c r="G23">
        <v>46.45</v>
      </c>
      <c r="H23">
        <v>32720</v>
      </c>
      <c r="I23">
        <v>2301.8960999999999</v>
      </c>
      <c r="J23">
        <v>96</v>
      </c>
      <c r="K23">
        <v>360106</v>
      </c>
      <c r="L23">
        <v>5.6</v>
      </c>
      <c r="M23">
        <v>274</v>
      </c>
    </row>
    <row r="24" spans="1:13" x14ac:dyDescent="0.25">
      <c r="A24" t="s">
        <v>57</v>
      </c>
      <c r="B24" t="s">
        <v>58</v>
      </c>
      <c r="C24" s="1">
        <v>45976</v>
      </c>
      <c r="D24">
        <v>1113</v>
      </c>
      <c r="E24">
        <v>26655</v>
      </c>
      <c r="F24" s="2">
        <v>4.7800925925925927E-3</v>
      </c>
      <c r="G24">
        <v>37.15</v>
      </c>
      <c r="H24">
        <v>26748</v>
      </c>
      <c r="I24">
        <v>3061.1640000000002</v>
      </c>
      <c r="J24">
        <v>127</v>
      </c>
      <c r="K24">
        <v>570209</v>
      </c>
      <c r="L24">
        <v>3.57</v>
      </c>
      <c r="M24">
        <v>413</v>
      </c>
    </row>
    <row r="25" spans="1:13" x14ac:dyDescent="0.25">
      <c r="A25" t="s">
        <v>59</v>
      </c>
      <c r="B25" t="s">
        <v>60</v>
      </c>
      <c r="C25" s="1">
        <v>46264</v>
      </c>
      <c r="D25">
        <v>505</v>
      </c>
      <c r="E25">
        <v>24022</v>
      </c>
      <c r="F25" s="2">
        <v>2.6157407407407405E-3</v>
      </c>
      <c r="G25">
        <v>44.82</v>
      </c>
      <c r="H25">
        <v>53667</v>
      </c>
      <c r="I25">
        <v>1522.9526000000001</v>
      </c>
      <c r="J25">
        <v>73</v>
      </c>
      <c r="K25">
        <v>330401</v>
      </c>
      <c r="L25">
        <v>4.95</v>
      </c>
      <c r="M25">
        <v>226</v>
      </c>
    </row>
    <row r="26" spans="1:13" x14ac:dyDescent="0.25">
      <c r="A26" t="s">
        <v>61</v>
      </c>
      <c r="B26" t="s">
        <v>62</v>
      </c>
      <c r="C26" s="1">
        <v>46039</v>
      </c>
      <c r="D26">
        <v>834</v>
      </c>
      <c r="E26">
        <v>23211</v>
      </c>
      <c r="F26" s="2">
        <v>4.0625000000000001E-3</v>
      </c>
      <c r="G26">
        <v>42.11</v>
      </c>
      <c r="H26">
        <v>24684</v>
      </c>
      <c r="I26">
        <v>2264.7197999999999</v>
      </c>
      <c r="J26">
        <v>98</v>
      </c>
      <c r="K26">
        <v>340931</v>
      </c>
      <c r="L26">
        <v>4.78</v>
      </c>
      <c r="M26">
        <v>351</v>
      </c>
    </row>
    <row r="27" spans="1:13" x14ac:dyDescent="0.25">
      <c r="A27" t="s">
        <v>63</v>
      </c>
      <c r="B27" t="s">
        <v>64</v>
      </c>
      <c r="C27" s="1">
        <v>46236</v>
      </c>
      <c r="D27">
        <v>532</v>
      </c>
      <c r="E27">
        <v>23072</v>
      </c>
      <c r="F27" s="2">
        <v>2.7546296296296294E-3</v>
      </c>
      <c r="G27">
        <v>44.91</v>
      </c>
      <c r="H27">
        <v>25547</v>
      </c>
      <c r="I27">
        <v>1532.0349000000001</v>
      </c>
      <c r="J27">
        <v>356</v>
      </c>
      <c r="K27">
        <v>319124</v>
      </c>
      <c r="L27">
        <v>4.8499999999999996</v>
      </c>
      <c r="M27">
        <v>238</v>
      </c>
    </row>
    <row r="28" spans="1:13" x14ac:dyDescent="0.25">
      <c r="A28" t="s">
        <v>65</v>
      </c>
      <c r="B28" t="s">
        <v>66</v>
      </c>
      <c r="C28" s="1">
        <v>45756</v>
      </c>
      <c r="D28">
        <v>1330</v>
      </c>
      <c r="E28">
        <v>21372</v>
      </c>
      <c r="F28" s="2">
        <v>4.6643518518518518E-3</v>
      </c>
      <c r="G28">
        <v>30.33</v>
      </c>
      <c r="H28">
        <v>21451</v>
      </c>
      <c r="I28">
        <v>2394.8665999999998</v>
      </c>
      <c r="J28">
        <v>78</v>
      </c>
      <c r="K28">
        <v>300978</v>
      </c>
      <c r="L28">
        <v>5.18</v>
      </c>
      <c r="M28">
        <v>403</v>
      </c>
    </row>
    <row r="29" spans="1:13" x14ac:dyDescent="0.25">
      <c r="A29" t="s">
        <v>67</v>
      </c>
      <c r="B29" t="s">
        <v>68</v>
      </c>
      <c r="C29" s="1">
        <v>45801</v>
      </c>
      <c r="D29">
        <v>431</v>
      </c>
      <c r="E29">
        <v>19943</v>
      </c>
      <c r="F29" s="2">
        <v>2.5578703703703705E-3</v>
      </c>
      <c r="G29">
        <v>51.36</v>
      </c>
      <c r="H29">
        <v>20262</v>
      </c>
      <c r="I29">
        <v>1226.3905999999999</v>
      </c>
      <c r="J29">
        <v>93</v>
      </c>
      <c r="K29">
        <v>250096</v>
      </c>
      <c r="L29">
        <v>5.53</v>
      </c>
      <c r="M29">
        <v>221</v>
      </c>
    </row>
    <row r="30" spans="1:13" x14ac:dyDescent="0.25">
      <c r="A30" t="s">
        <v>69</v>
      </c>
      <c r="B30" t="s">
        <v>70</v>
      </c>
      <c r="C30" s="1">
        <v>46144</v>
      </c>
      <c r="D30">
        <v>516</v>
      </c>
      <c r="E30">
        <v>19346</v>
      </c>
      <c r="F30" s="2">
        <v>2.8703703703703703E-3</v>
      </c>
      <c r="G30">
        <v>48.09</v>
      </c>
      <c r="H30">
        <v>21636</v>
      </c>
      <c r="I30">
        <v>1334.4702</v>
      </c>
      <c r="J30">
        <v>68</v>
      </c>
      <c r="K30">
        <v>261193</v>
      </c>
      <c r="L30">
        <v>4.97</v>
      </c>
      <c r="M30">
        <v>248</v>
      </c>
    </row>
    <row r="31" spans="1:13" x14ac:dyDescent="0.25">
      <c r="A31" t="s">
        <v>71</v>
      </c>
      <c r="B31" t="s">
        <v>72</v>
      </c>
      <c r="C31" s="1">
        <v>45787</v>
      </c>
      <c r="D31">
        <v>519</v>
      </c>
      <c r="E31">
        <v>18945</v>
      </c>
      <c r="F31" s="2">
        <v>2.5115740740740741E-3</v>
      </c>
      <c r="G31">
        <v>41.98</v>
      </c>
      <c r="H31">
        <v>19042</v>
      </c>
      <c r="I31">
        <v>1146.5895</v>
      </c>
      <c r="J31">
        <v>70</v>
      </c>
      <c r="K31">
        <v>239152</v>
      </c>
      <c r="L31">
        <v>6.07</v>
      </c>
      <c r="M31">
        <v>217</v>
      </c>
    </row>
    <row r="32" spans="1:13" x14ac:dyDescent="0.25">
      <c r="A32" t="s">
        <v>73</v>
      </c>
      <c r="B32" t="s">
        <v>74</v>
      </c>
      <c r="C32" s="1">
        <v>46207</v>
      </c>
      <c r="D32">
        <v>569</v>
      </c>
      <c r="E32">
        <v>18208</v>
      </c>
      <c r="F32" s="2">
        <v>3.0902777777777777E-3</v>
      </c>
      <c r="G32">
        <v>47.09</v>
      </c>
      <c r="H32">
        <v>19584</v>
      </c>
      <c r="I32">
        <v>1355.6391000000001</v>
      </c>
      <c r="J32">
        <v>68</v>
      </c>
      <c r="K32">
        <v>256240</v>
      </c>
      <c r="L32">
        <v>4.9400000000000004</v>
      </c>
      <c r="M32">
        <v>267</v>
      </c>
    </row>
    <row r="33" spans="1:13" x14ac:dyDescent="0.25">
      <c r="A33" t="s">
        <v>75</v>
      </c>
      <c r="B33" t="s">
        <v>76</v>
      </c>
      <c r="C33" s="1">
        <v>46214</v>
      </c>
      <c r="D33">
        <v>705</v>
      </c>
      <c r="E33">
        <v>17637</v>
      </c>
      <c r="F33" s="2">
        <v>3.6458333333333334E-3</v>
      </c>
      <c r="G33">
        <v>44.72</v>
      </c>
      <c r="H33">
        <v>20125</v>
      </c>
      <c r="I33">
        <v>1545.7958000000001</v>
      </c>
      <c r="J33">
        <v>59</v>
      </c>
      <c r="K33">
        <v>230187</v>
      </c>
      <c r="L33">
        <v>4.99</v>
      </c>
      <c r="M33">
        <v>315</v>
      </c>
    </row>
    <row r="34" spans="1:13" x14ac:dyDescent="0.25">
      <c r="A34" t="s">
        <v>77</v>
      </c>
      <c r="B34" t="s">
        <v>78</v>
      </c>
      <c r="C34" s="1">
        <v>46172</v>
      </c>
      <c r="D34">
        <v>600</v>
      </c>
      <c r="E34">
        <v>16478</v>
      </c>
      <c r="F34" s="2">
        <v>3.2060185185185186E-3</v>
      </c>
      <c r="G34">
        <v>46.27</v>
      </c>
      <c r="H34">
        <v>16613</v>
      </c>
      <c r="I34">
        <v>1270.6937</v>
      </c>
      <c r="J34">
        <v>91</v>
      </c>
      <c r="K34">
        <v>297318</v>
      </c>
      <c r="L34">
        <v>3.99</v>
      </c>
      <c r="M34">
        <v>277</v>
      </c>
    </row>
    <row r="35" spans="1:13" x14ac:dyDescent="0.25">
      <c r="A35" t="s">
        <v>79</v>
      </c>
      <c r="B35" t="s">
        <v>80</v>
      </c>
      <c r="C35" s="1">
        <v>45948</v>
      </c>
      <c r="D35">
        <v>534</v>
      </c>
      <c r="E35">
        <v>16124</v>
      </c>
      <c r="F35" s="2">
        <v>2.9050925925925928E-3</v>
      </c>
      <c r="G35">
        <v>47.07</v>
      </c>
      <c r="H35">
        <v>16610</v>
      </c>
      <c r="I35">
        <v>1125.8776</v>
      </c>
      <c r="J35">
        <v>59</v>
      </c>
      <c r="K35">
        <v>277039</v>
      </c>
      <c r="L35">
        <v>4.2699999999999996</v>
      </c>
      <c r="M35">
        <v>251</v>
      </c>
    </row>
    <row r="36" spans="1:13" x14ac:dyDescent="0.25">
      <c r="A36" t="s">
        <v>81</v>
      </c>
      <c r="B36" t="s">
        <v>82</v>
      </c>
      <c r="C36" s="1">
        <v>46116</v>
      </c>
      <c r="D36">
        <v>565</v>
      </c>
      <c r="E36">
        <v>15504</v>
      </c>
      <c r="F36" s="2">
        <v>3.1365740740740742E-3</v>
      </c>
      <c r="G36">
        <v>48.07</v>
      </c>
      <c r="H36">
        <v>17215</v>
      </c>
      <c r="I36">
        <v>1170.4114999999999</v>
      </c>
      <c r="J36">
        <v>43</v>
      </c>
      <c r="K36">
        <v>236411</v>
      </c>
      <c r="L36">
        <v>4.6500000000000004</v>
      </c>
      <c r="M36">
        <v>271</v>
      </c>
    </row>
    <row r="37" spans="1:13" x14ac:dyDescent="0.25">
      <c r="A37" t="s">
        <v>83</v>
      </c>
      <c r="B37" t="s">
        <v>84</v>
      </c>
      <c r="C37" s="1">
        <v>45990</v>
      </c>
      <c r="D37">
        <v>511</v>
      </c>
      <c r="E37">
        <v>15231</v>
      </c>
      <c r="F37" s="2">
        <v>2.8009259259259259E-3</v>
      </c>
      <c r="G37">
        <v>47.43</v>
      </c>
      <c r="H37">
        <v>15330</v>
      </c>
      <c r="I37">
        <v>1025.5288</v>
      </c>
      <c r="J37">
        <v>54</v>
      </c>
      <c r="K37">
        <v>249611</v>
      </c>
      <c r="L37">
        <v>4.6100000000000003</v>
      </c>
      <c r="M37">
        <v>242</v>
      </c>
    </row>
    <row r="38" spans="1:13" x14ac:dyDescent="0.25">
      <c r="A38" t="s">
        <v>85</v>
      </c>
      <c r="B38" t="s">
        <v>86</v>
      </c>
      <c r="C38" s="1">
        <v>46222</v>
      </c>
      <c r="D38">
        <v>683</v>
      </c>
      <c r="E38">
        <v>13664</v>
      </c>
      <c r="F38" s="2">
        <v>3.6921296296296298E-3</v>
      </c>
      <c r="G38">
        <v>46.72</v>
      </c>
      <c r="H38">
        <v>14421</v>
      </c>
      <c r="I38">
        <v>1211.4396999999999</v>
      </c>
      <c r="J38">
        <v>58</v>
      </c>
      <c r="K38">
        <v>201835</v>
      </c>
      <c r="L38">
        <v>4.55</v>
      </c>
      <c r="M38">
        <v>319</v>
      </c>
    </row>
    <row r="39" spans="1:13" x14ac:dyDescent="0.25">
      <c r="A39" t="s">
        <v>87</v>
      </c>
      <c r="B39" t="s">
        <v>88</v>
      </c>
      <c r="C39" s="1">
        <v>45732</v>
      </c>
      <c r="D39">
        <v>945</v>
      </c>
      <c r="E39">
        <v>13522</v>
      </c>
      <c r="F39" s="2">
        <v>4.2245370370370371E-3</v>
      </c>
      <c r="G39">
        <v>38.700000000000003</v>
      </c>
      <c r="H39">
        <v>13543</v>
      </c>
      <c r="I39">
        <v>1373.5764999999999</v>
      </c>
      <c r="J39">
        <v>28</v>
      </c>
      <c r="K39">
        <v>188427</v>
      </c>
      <c r="L39">
        <v>4.32</v>
      </c>
      <c r="M39">
        <v>365</v>
      </c>
    </row>
    <row r="40" spans="1:13" x14ac:dyDescent="0.25">
      <c r="A40" t="s">
        <v>89</v>
      </c>
      <c r="B40" t="s">
        <v>90</v>
      </c>
      <c r="C40" s="1">
        <v>45794</v>
      </c>
      <c r="D40">
        <v>506</v>
      </c>
      <c r="E40">
        <v>13519</v>
      </c>
      <c r="F40" s="2">
        <v>2.5578703703703705E-3</v>
      </c>
      <c r="G40">
        <v>43.74</v>
      </c>
      <c r="H40">
        <v>13547</v>
      </c>
      <c r="I40">
        <v>831.13379999999995</v>
      </c>
      <c r="J40">
        <v>48</v>
      </c>
      <c r="K40">
        <v>181774</v>
      </c>
      <c r="L40">
        <v>5.43</v>
      </c>
      <c r="M40">
        <v>221</v>
      </c>
    </row>
    <row r="41" spans="1:13" x14ac:dyDescent="0.25">
      <c r="A41" t="s">
        <v>91</v>
      </c>
      <c r="B41" t="s">
        <v>92</v>
      </c>
      <c r="C41" s="1">
        <v>46278</v>
      </c>
      <c r="D41">
        <v>543</v>
      </c>
      <c r="E41">
        <v>12428</v>
      </c>
      <c r="F41" s="2">
        <v>3.1712962962962962E-3</v>
      </c>
      <c r="G41">
        <v>50.57</v>
      </c>
      <c r="H41">
        <v>22901</v>
      </c>
      <c r="I41">
        <v>952.01840000000004</v>
      </c>
      <c r="J41">
        <v>40</v>
      </c>
      <c r="K41">
        <v>163825</v>
      </c>
      <c r="L41">
        <v>5.22</v>
      </c>
      <c r="M41">
        <v>274</v>
      </c>
    </row>
    <row r="42" spans="1:13" x14ac:dyDescent="0.25">
      <c r="A42" t="s">
        <v>93</v>
      </c>
      <c r="B42" t="s">
        <v>94</v>
      </c>
      <c r="C42" s="1">
        <v>46270</v>
      </c>
      <c r="D42">
        <v>420</v>
      </c>
      <c r="E42">
        <v>12202</v>
      </c>
      <c r="F42" s="2">
        <v>2.2222222222222222E-3</v>
      </c>
      <c r="G42">
        <v>45.88</v>
      </c>
      <c r="H42">
        <v>28571</v>
      </c>
      <c r="I42">
        <v>660.02269999999999</v>
      </c>
      <c r="J42">
        <v>63</v>
      </c>
      <c r="K42">
        <v>173306</v>
      </c>
      <c r="L42">
        <v>5.14</v>
      </c>
      <c r="M42">
        <v>192</v>
      </c>
    </row>
    <row r="43" spans="1:13" x14ac:dyDescent="0.25">
      <c r="A43" t="s">
        <v>95</v>
      </c>
      <c r="B43" t="s">
        <v>96</v>
      </c>
      <c r="C43" s="1">
        <v>46158</v>
      </c>
      <c r="D43">
        <v>742</v>
      </c>
      <c r="E43">
        <v>12163</v>
      </c>
      <c r="F43" s="2">
        <v>3.9467592592592592E-3</v>
      </c>
      <c r="G43">
        <v>45.99</v>
      </c>
      <c r="H43">
        <v>12987</v>
      </c>
      <c r="I43">
        <v>1153.1944000000001</v>
      </c>
      <c r="J43">
        <v>39</v>
      </c>
      <c r="K43">
        <v>179912</v>
      </c>
      <c r="L43">
        <v>4.2</v>
      </c>
      <c r="M43">
        <v>341</v>
      </c>
    </row>
    <row r="44" spans="1:13" x14ac:dyDescent="0.25">
      <c r="A44" t="s">
        <v>97</v>
      </c>
      <c r="B44" t="s">
        <v>98</v>
      </c>
      <c r="C44" s="1">
        <v>45920</v>
      </c>
      <c r="D44">
        <v>674</v>
      </c>
      <c r="E44">
        <v>11908</v>
      </c>
      <c r="F44" s="2">
        <v>3.5069444444444445E-3</v>
      </c>
      <c r="G44">
        <v>45.06</v>
      </c>
      <c r="H44">
        <v>12014</v>
      </c>
      <c r="I44">
        <v>1004.702</v>
      </c>
      <c r="J44">
        <v>39</v>
      </c>
      <c r="K44">
        <v>177220</v>
      </c>
      <c r="L44">
        <v>4.59</v>
      </c>
      <c r="M44">
        <v>303</v>
      </c>
    </row>
    <row r="45" spans="1:13" x14ac:dyDescent="0.25">
      <c r="A45" t="s">
        <v>99</v>
      </c>
      <c r="B45" t="s">
        <v>100</v>
      </c>
      <c r="C45" s="1">
        <v>45677</v>
      </c>
      <c r="D45">
        <v>500</v>
      </c>
      <c r="E45">
        <v>11088</v>
      </c>
      <c r="F45" s="2">
        <v>2.0486111111111113E-3</v>
      </c>
      <c r="G45">
        <v>35.4</v>
      </c>
      <c r="H45">
        <v>11096</v>
      </c>
      <c r="I45">
        <v>545.17639999999994</v>
      </c>
      <c r="J45">
        <v>65</v>
      </c>
      <c r="K45">
        <v>101430</v>
      </c>
      <c r="L45">
        <v>6.07</v>
      </c>
      <c r="M45">
        <v>177</v>
      </c>
    </row>
    <row r="46" spans="1:13" x14ac:dyDescent="0.25">
      <c r="A46" t="s">
        <v>101</v>
      </c>
      <c r="B46" t="s">
        <v>102</v>
      </c>
      <c r="C46" s="1">
        <v>46053</v>
      </c>
      <c r="D46">
        <v>544</v>
      </c>
      <c r="E46">
        <v>11027</v>
      </c>
      <c r="F46" s="2">
        <v>2.9513888888888888E-3</v>
      </c>
      <c r="G46">
        <v>46.91</v>
      </c>
      <c r="H46">
        <v>11749</v>
      </c>
      <c r="I46">
        <v>782.05340000000001</v>
      </c>
      <c r="J46">
        <v>29</v>
      </c>
      <c r="K46">
        <v>173615</v>
      </c>
      <c r="L46">
        <v>4.54</v>
      </c>
      <c r="M46">
        <v>255</v>
      </c>
    </row>
    <row r="47" spans="1:13" x14ac:dyDescent="0.25">
      <c r="A47" t="s">
        <v>103</v>
      </c>
      <c r="B47" t="s">
        <v>104</v>
      </c>
      <c r="C47" s="1">
        <v>45717</v>
      </c>
      <c r="D47">
        <v>660</v>
      </c>
      <c r="E47">
        <v>9561</v>
      </c>
      <c r="F47" s="2">
        <v>3.6805555555555554E-3</v>
      </c>
      <c r="G47">
        <v>48.29</v>
      </c>
      <c r="H47">
        <v>9571</v>
      </c>
      <c r="I47">
        <v>846.51499999999999</v>
      </c>
      <c r="J47">
        <v>50</v>
      </c>
      <c r="K47">
        <v>123901</v>
      </c>
      <c r="L47">
        <v>5.07</v>
      </c>
      <c r="M47">
        <v>318</v>
      </c>
    </row>
    <row r="48" spans="1:13" x14ac:dyDescent="0.25">
      <c r="A48" t="s">
        <v>105</v>
      </c>
      <c r="B48" t="s">
        <v>106</v>
      </c>
      <c r="C48" s="1">
        <v>46284</v>
      </c>
      <c r="D48">
        <v>727</v>
      </c>
      <c r="E48">
        <v>8943</v>
      </c>
      <c r="F48" s="2">
        <v>3.9467592592592592E-3</v>
      </c>
      <c r="G48">
        <v>46.95</v>
      </c>
      <c r="H48">
        <v>20245</v>
      </c>
      <c r="I48">
        <v>852.33680000000004</v>
      </c>
      <c r="J48">
        <v>13</v>
      </c>
      <c r="K48">
        <v>154126</v>
      </c>
      <c r="L48">
        <v>4.09</v>
      </c>
      <c r="M48">
        <v>341</v>
      </c>
    </row>
    <row r="49" spans="1:13" x14ac:dyDescent="0.25">
      <c r="A49" t="s">
        <v>107</v>
      </c>
      <c r="B49" t="s">
        <v>108</v>
      </c>
      <c r="C49" s="1">
        <v>46292</v>
      </c>
      <c r="D49">
        <v>612</v>
      </c>
      <c r="E49">
        <v>8874</v>
      </c>
      <c r="F49" s="2">
        <v>3.5995370370370369E-3</v>
      </c>
      <c r="G49">
        <v>50.84</v>
      </c>
      <c r="H49">
        <v>16638</v>
      </c>
      <c r="I49">
        <v>770.05010000000004</v>
      </c>
      <c r="J49">
        <v>30</v>
      </c>
      <c r="K49">
        <v>112225</v>
      </c>
      <c r="L49">
        <v>5.65</v>
      </c>
      <c r="M49">
        <v>311</v>
      </c>
    </row>
    <row r="50" spans="1:13" x14ac:dyDescent="0.25">
      <c r="A50" t="s">
        <v>109</v>
      </c>
      <c r="B50" t="s">
        <v>110</v>
      </c>
      <c r="C50" s="1">
        <v>45765</v>
      </c>
      <c r="D50">
        <v>601</v>
      </c>
      <c r="E50">
        <v>8387</v>
      </c>
      <c r="F50" s="2">
        <v>2.3032407407407407E-3</v>
      </c>
      <c r="G50">
        <v>33.18</v>
      </c>
      <c r="H50">
        <v>8397</v>
      </c>
      <c r="I50">
        <v>464.58179999999999</v>
      </c>
      <c r="J50">
        <v>35</v>
      </c>
      <c r="K50">
        <v>95024</v>
      </c>
      <c r="L50">
        <v>6.16</v>
      </c>
      <c r="M50">
        <v>199</v>
      </c>
    </row>
    <row r="51" spans="1:13" x14ac:dyDescent="0.25">
      <c r="A51" t="s">
        <v>111</v>
      </c>
      <c r="B51" t="s">
        <v>112</v>
      </c>
      <c r="C51" s="1">
        <v>45698</v>
      </c>
      <c r="D51">
        <v>483</v>
      </c>
      <c r="E51">
        <v>7835</v>
      </c>
      <c r="F51" s="2">
        <v>2.3842592592592591E-3</v>
      </c>
      <c r="G51">
        <v>42.74</v>
      </c>
      <c r="H51">
        <v>7953</v>
      </c>
      <c r="I51">
        <v>449.38060000000002</v>
      </c>
      <c r="J51">
        <v>53</v>
      </c>
      <c r="K51">
        <v>95669</v>
      </c>
      <c r="L51">
        <v>4.3099999999999996</v>
      </c>
      <c r="M51">
        <v>206</v>
      </c>
    </row>
    <row r="52" spans="1:13" x14ac:dyDescent="0.25">
      <c r="A52" t="s">
        <v>113</v>
      </c>
      <c r="B52" t="s">
        <v>114</v>
      </c>
      <c r="C52" s="1">
        <v>46025</v>
      </c>
      <c r="D52">
        <v>432</v>
      </c>
      <c r="E52">
        <v>7508</v>
      </c>
      <c r="F52" s="2">
        <v>2.476851851851852E-3</v>
      </c>
      <c r="G52">
        <v>49.69</v>
      </c>
      <c r="H52">
        <v>7544</v>
      </c>
      <c r="I52">
        <v>447.72449999999998</v>
      </c>
      <c r="J52">
        <v>22</v>
      </c>
      <c r="K52">
        <v>131266</v>
      </c>
      <c r="L52">
        <v>4.2699999999999996</v>
      </c>
      <c r="M52">
        <v>214</v>
      </c>
    </row>
    <row r="53" spans="1:13" x14ac:dyDescent="0.25">
      <c r="A53" t="s">
        <v>115</v>
      </c>
      <c r="B53" t="s">
        <v>116</v>
      </c>
      <c r="C53" s="1">
        <v>45815</v>
      </c>
      <c r="D53">
        <v>849</v>
      </c>
      <c r="E53">
        <v>6983</v>
      </c>
      <c r="F53" s="2">
        <v>4.43287037037037E-3</v>
      </c>
      <c r="G53">
        <v>45.13</v>
      </c>
      <c r="H53">
        <v>7013</v>
      </c>
      <c r="I53">
        <v>743.18520000000001</v>
      </c>
      <c r="J53">
        <v>60</v>
      </c>
      <c r="K53">
        <v>137424</v>
      </c>
      <c r="L53">
        <v>3.55</v>
      </c>
      <c r="M53">
        <v>383</v>
      </c>
    </row>
    <row r="54" spans="1:13" x14ac:dyDescent="0.25">
      <c r="A54" t="s">
        <v>117</v>
      </c>
      <c r="B54" t="s">
        <v>118</v>
      </c>
      <c r="C54" s="1">
        <v>45740</v>
      </c>
      <c r="D54">
        <v>608</v>
      </c>
      <c r="E54">
        <v>6803</v>
      </c>
      <c r="F54" s="2">
        <v>2.9398148148148148E-3</v>
      </c>
      <c r="G54">
        <v>41.84</v>
      </c>
      <c r="H54">
        <v>6920</v>
      </c>
      <c r="I54">
        <v>480.73039999999997</v>
      </c>
      <c r="J54">
        <v>23</v>
      </c>
      <c r="K54">
        <v>93828</v>
      </c>
      <c r="L54">
        <v>4.68</v>
      </c>
      <c r="M54">
        <v>254</v>
      </c>
    </row>
    <row r="55" spans="1:13" x14ac:dyDescent="0.25">
      <c r="A55" t="s">
        <v>119</v>
      </c>
      <c r="B55" t="s">
        <v>120</v>
      </c>
      <c r="C55" s="1">
        <v>45857</v>
      </c>
      <c r="D55">
        <v>812</v>
      </c>
      <c r="E55">
        <v>6595</v>
      </c>
      <c r="F55" s="2">
        <v>3.8773148148148148E-3</v>
      </c>
      <c r="G55">
        <v>41.27</v>
      </c>
      <c r="H55">
        <v>6604</v>
      </c>
      <c r="I55">
        <v>613.90800000000002</v>
      </c>
      <c r="J55">
        <v>18</v>
      </c>
      <c r="K55">
        <v>124299</v>
      </c>
      <c r="L55">
        <v>3.89</v>
      </c>
      <c r="M55">
        <v>335</v>
      </c>
    </row>
    <row r="56" spans="1:13" x14ac:dyDescent="0.25">
      <c r="A56" t="s">
        <v>121</v>
      </c>
      <c r="B56" t="s">
        <v>122</v>
      </c>
      <c r="C56" s="1">
        <v>46074</v>
      </c>
      <c r="D56">
        <v>315</v>
      </c>
      <c r="E56">
        <v>6276</v>
      </c>
      <c r="F56" s="2">
        <v>1.736111111111111E-3</v>
      </c>
      <c r="G56">
        <v>47.93</v>
      </c>
      <c r="H56">
        <v>6352</v>
      </c>
      <c r="I56">
        <v>263.24040000000002</v>
      </c>
      <c r="J56">
        <v>18</v>
      </c>
      <c r="K56">
        <v>101707</v>
      </c>
      <c r="L56">
        <v>4.6100000000000003</v>
      </c>
      <c r="M56">
        <v>150</v>
      </c>
    </row>
    <row r="57" spans="1:13" x14ac:dyDescent="0.25">
      <c r="A57" t="s">
        <v>123</v>
      </c>
      <c r="B57" t="s">
        <v>124</v>
      </c>
      <c r="C57" s="1">
        <v>45725</v>
      </c>
      <c r="D57">
        <v>417</v>
      </c>
      <c r="E57">
        <v>4433</v>
      </c>
      <c r="F57" s="2">
        <v>2.4189814814814816E-3</v>
      </c>
      <c r="G57">
        <v>50.17</v>
      </c>
      <c r="H57">
        <v>4443</v>
      </c>
      <c r="I57">
        <v>257.64139999999998</v>
      </c>
      <c r="J57">
        <v>33</v>
      </c>
      <c r="K57">
        <v>75711</v>
      </c>
      <c r="L57">
        <v>3.89</v>
      </c>
      <c r="M57">
        <v>209</v>
      </c>
    </row>
    <row r="58" spans="1:13" x14ac:dyDescent="0.25">
      <c r="A58" t="s">
        <v>125</v>
      </c>
      <c r="B58" t="s">
        <v>126</v>
      </c>
      <c r="C58" s="1">
        <v>46088</v>
      </c>
      <c r="D58">
        <v>300</v>
      </c>
      <c r="E58">
        <v>4149</v>
      </c>
      <c r="F58" s="2">
        <v>1.8055555555555555E-3</v>
      </c>
      <c r="G58">
        <v>52.1</v>
      </c>
      <c r="H58">
        <v>4190</v>
      </c>
      <c r="I58">
        <v>180.1463</v>
      </c>
      <c r="J58">
        <v>7</v>
      </c>
      <c r="K58">
        <v>76216</v>
      </c>
      <c r="L58">
        <v>3.86</v>
      </c>
      <c r="M58">
        <v>156</v>
      </c>
    </row>
    <row r="59" spans="1:13" x14ac:dyDescent="0.25">
      <c r="A59" t="s">
        <v>127</v>
      </c>
      <c r="B59" t="s">
        <v>128</v>
      </c>
      <c r="C59" s="1">
        <v>45657</v>
      </c>
      <c r="D59">
        <v>181</v>
      </c>
      <c r="E59">
        <v>2130</v>
      </c>
      <c r="F59" s="2">
        <v>8.3333333333333339E-4</v>
      </c>
      <c r="G59">
        <v>40.17</v>
      </c>
      <c r="H59">
        <v>2136</v>
      </c>
      <c r="I59">
        <v>43.020099999999999</v>
      </c>
      <c r="J59">
        <v>25</v>
      </c>
      <c r="K59">
        <v>26985</v>
      </c>
      <c r="L59">
        <v>5.97</v>
      </c>
      <c r="M59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B6BD-D06E-42F0-A2D3-FAE430EF99E0}">
  <dimension ref="A1:T59"/>
  <sheetViews>
    <sheetView tabSelected="1" topLeftCell="B16" zoomScale="77" zoomScaleNormal="77" workbookViewId="0">
      <selection activeCell="D60" sqref="D60"/>
    </sheetView>
  </sheetViews>
  <sheetFormatPr defaultRowHeight="15" x14ac:dyDescent="0.25"/>
  <cols>
    <col min="1" max="1" width="10.5703125" customWidth="1"/>
    <col min="2" max="2" width="68.85546875" customWidth="1"/>
    <col min="3" max="3" width="15.140625" customWidth="1"/>
    <col min="4" max="4" width="23.85546875" customWidth="1"/>
    <col min="5" max="5" width="16.28515625" customWidth="1"/>
    <col min="6" max="6" width="19.85546875" customWidth="1"/>
    <col min="7" max="7" width="25.42578125" customWidth="1"/>
    <col min="9" max="9" width="20.42578125" customWidth="1"/>
    <col min="10" max="10" width="13.85546875" customWidth="1"/>
    <col min="11" max="11" width="14.42578125" customWidth="1"/>
    <col min="12" max="12" width="7.28515625" customWidth="1"/>
    <col min="13" max="13" width="14.7109375" customWidth="1"/>
    <col min="14" max="14" width="17.7109375" bestFit="1" customWidth="1"/>
    <col min="15" max="15" width="20.140625" customWidth="1"/>
    <col min="16" max="16" width="20.42578125" customWidth="1"/>
    <col min="17" max="17" width="29.7109375" customWidth="1"/>
    <col min="18" max="18" width="23.42578125" customWidth="1"/>
  </cols>
  <sheetData>
    <row r="1" spans="1:20" x14ac:dyDescent="0.25">
      <c r="A1" t="s">
        <v>129</v>
      </c>
      <c r="B1" t="s">
        <v>130</v>
      </c>
      <c r="C1" s="1" t="s">
        <v>131</v>
      </c>
      <c r="D1" t="s">
        <v>3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12</v>
      </c>
      <c r="N1" t="s">
        <v>140</v>
      </c>
      <c r="O1" t="s">
        <v>164</v>
      </c>
      <c r="P1" s="7" t="s">
        <v>160</v>
      </c>
      <c r="Q1" t="s">
        <v>168</v>
      </c>
      <c r="R1" t="s">
        <v>169</v>
      </c>
    </row>
    <row r="2" spans="1:20" x14ac:dyDescent="0.25">
      <c r="A2" t="s">
        <v>127</v>
      </c>
      <c r="B2" t="s">
        <v>128</v>
      </c>
      <c r="C2" s="1">
        <v>45657</v>
      </c>
      <c r="D2">
        <v>181</v>
      </c>
      <c r="E2">
        <v>2130</v>
      </c>
      <c r="F2" s="3">
        <v>8.3333333333333339E-4</v>
      </c>
      <c r="G2">
        <v>40.17</v>
      </c>
      <c r="H2">
        <v>2136</v>
      </c>
      <c r="I2">
        <v>43.020099999999999</v>
      </c>
      <c r="J2">
        <v>25</v>
      </c>
      <c r="K2">
        <v>26985</v>
      </c>
      <c r="L2">
        <v>5.97</v>
      </c>
      <c r="M2">
        <v>72</v>
      </c>
      <c r="N2" t="s">
        <v>145</v>
      </c>
      <c r="O2" t="s">
        <v>157</v>
      </c>
      <c r="P2" t="s">
        <v>159</v>
      </c>
      <c r="Q2" s="8">
        <f>IFERROR(M2/D2,"")</f>
        <v>0.39779005524861877</v>
      </c>
      <c r="R2">
        <f>ABS(Q2*100-G2)</f>
        <v>0.3909944751381218</v>
      </c>
      <c r="T2">
        <f>MAX(R2:R59)</f>
        <v>0.3909944751381218</v>
      </c>
    </row>
    <row r="3" spans="1:20" x14ac:dyDescent="0.25">
      <c r="A3" t="s">
        <v>121</v>
      </c>
      <c r="B3" t="s">
        <v>122</v>
      </c>
      <c r="C3" s="1">
        <v>46074</v>
      </c>
      <c r="D3">
        <v>315</v>
      </c>
      <c r="E3">
        <v>6276</v>
      </c>
      <c r="F3" s="3">
        <v>1.736111111111111E-3</v>
      </c>
      <c r="G3">
        <v>47.93</v>
      </c>
      <c r="H3">
        <v>6352</v>
      </c>
      <c r="I3">
        <v>263.24040000000002</v>
      </c>
      <c r="J3">
        <v>18</v>
      </c>
      <c r="K3">
        <v>101707</v>
      </c>
      <c r="L3">
        <v>4.6100000000000003</v>
      </c>
      <c r="M3">
        <v>150</v>
      </c>
      <c r="N3" t="s">
        <v>143</v>
      </c>
      <c r="O3" t="s">
        <v>159</v>
      </c>
      <c r="P3" t="s">
        <v>157</v>
      </c>
      <c r="Q3" s="8">
        <f>IFERROR(M3/D3,"")</f>
        <v>0.47619047619047616</v>
      </c>
      <c r="R3">
        <f>ABS(Q3*100-G3)</f>
        <v>0.31095238095238642</v>
      </c>
      <c r="T3">
        <f>COUNTIF(R2:R59,"&gt;0.1")</f>
        <v>21</v>
      </c>
    </row>
    <row r="4" spans="1:20" x14ac:dyDescent="0.25">
      <c r="A4" t="s">
        <v>49</v>
      </c>
      <c r="B4" t="s">
        <v>50</v>
      </c>
      <c r="C4" s="1">
        <v>46200</v>
      </c>
      <c r="D4">
        <v>454</v>
      </c>
      <c r="E4">
        <v>34389</v>
      </c>
      <c r="F4" s="3">
        <v>1.9791666666666668E-3</v>
      </c>
      <c r="G4">
        <v>37.86</v>
      </c>
      <c r="H4">
        <v>35938</v>
      </c>
      <c r="I4">
        <v>1642.5473999999999</v>
      </c>
      <c r="J4">
        <v>82</v>
      </c>
      <c r="K4">
        <v>452495</v>
      </c>
      <c r="L4">
        <v>5.57</v>
      </c>
      <c r="M4">
        <v>171</v>
      </c>
      <c r="N4" t="s">
        <v>145</v>
      </c>
      <c r="O4" t="s">
        <v>157</v>
      </c>
      <c r="P4" t="s">
        <v>158</v>
      </c>
      <c r="Q4" s="8">
        <f>IFERROR(M4/D4,"")</f>
        <v>0.37665198237885461</v>
      </c>
      <c r="R4">
        <f>ABS(Q4*100-G4)</f>
        <v>0.19480176211453681</v>
      </c>
    </row>
    <row r="5" spans="1:20" x14ac:dyDescent="0.25">
      <c r="A5" t="s">
        <v>63</v>
      </c>
      <c r="B5" t="s">
        <v>64</v>
      </c>
      <c r="C5" s="1">
        <v>46236</v>
      </c>
      <c r="D5">
        <v>532</v>
      </c>
      <c r="E5">
        <v>23072</v>
      </c>
      <c r="F5" s="3">
        <v>2.7546296296296294E-3</v>
      </c>
      <c r="G5">
        <v>44.91</v>
      </c>
      <c r="H5">
        <v>25547</v>
      </c>
      <c r="I5">
        <v>1532.0349000000001</v>
      </c>
      <c r="J5">
        <v>356</v>
      </c>
      <c r="K5">
        <v>319124</v>
      </c>
      <c r="L5">
        <v>4.8499999999999996</v>
      </c>
      <c r="M5">
        <v>238</v>
      </c>
      <c r="N5" t="s">
        <v>142</v>
      </c>
      <c r="O5" t="s">
        <v>158</v>
      </c>
      <c r="P5" t="s">
        <v>157</v>
      </c>
      <c r="Q5" s="8">
        <f>IFERROR(M5/D5,"")</f>
        <v>0.44736842105263158</v>
      </c>
      <c r="R5">
        <f>ABS(Q5*100-G5)</f>
        <v>0.17315789473683907</v>
      </c>
    </row>
    <row r="6" spans="1:20" x14ac:dyDescent="0.25">
      <c r="A6" t="s">
        <v>71</v>
      </c>
      <c r="B6" t="s">
        <v>72</v>
      </c>
      <c r="C6" s="1">
        <v>45787</v>
      </c>
      <c r="D6">
        <v>519</v>
      </c>
      <c r="E6">
        <v>18945</v>
      </c>
      <c r="F6" s="3">
        <v>2.5115740740740741E-3</v>
      </c>
      <c r="G6">
        <v>41.98</v>
      </c>
      <c r="H6">
        <v>19042</v>
      </c>
      <c r="I6">
        <v>1146.5895</v>
      </c>
      <c r="J6">
        <v>70</v>
      </c>
      <c r="K6">
        <v>239152</v>
      </c>
      <c r="L6">
        <v>6.07</v>
      </c>
      <c r="M6">
        <v>217</v>
      </c>
      <c r="N6" t="s">
        <v>152</v>
      </c>
      <c r="O6" t="s">
        <v>159</v>
      </c>
      <c r="P6" t="s">
        <v>159</v>
      </c>
      <c r="Q6" s="8">
        <f>IFERROR(M6/D6,"")</f>
        <v>0.41811175337186895</v>
      </c>
      <c r="R6">
        <f>ABS(Q6*100-G6)</f>
        <v>0.16882466281310116</v>
      </c>
    </row>
    <row r="7" spans="1:20" x14ac:dyDescent="0.25">
      <c r="A7" t="s">
        <v>93</v>
      </c>
      <c r="B7" t="s">
        <v>94</v>
      </c>
      <c r="C7" s="1">
        <v>46270</v>
      </c>
      <c r="D7">
        <v>420</v>
      </c>
      <c r="E7">
        <v>12202</v>
      </c>
      <c r="F7" s="3">
        <v>2.2222222222222222E-3</v>
      </c>
      <c r="G7">
        <v>45.88</v>
      </c>
      <c r="H7">
        <v>28571</v>
      </c>
      <c r="I7">
        <v>660.02269999999999</v>
      </c>
      <c r="J7">
        <v>63</v>
      </c>
      <c r="K7">
        <v>173306</v>
      </c>
      <c r="L7">
        <v>5.14</v>
      </c>
      <c r="M7">
        <v>192</v>
      </c>
      <c r="N7" t="s">
        <v>145</v>
      </c>
      <c r="O7" t="s">
        <v>157</v>
      </c>
      <c r="P7" t="s">
        <v>158</v>
      </c>
      <c r="Q7" s="8">
        <f>IFERROR(M7/D7,"")</f>
        <v>0.45714285714285713</v>
      </c>
      <c r="R7">
        <f>ABS(Q7*100-G7)</f>
        <v>0.16571428571428726</v>
      </c>
    </row>
    <row r="8" spans="1:20" x14ac:dyDescent="0.25">
      <c r="A8" t="s">
        <v>73</v>
      </c>
      <c r="B8" t="s">
        <v>74</v>
      </c>
      <c r="C8" s="1">
        <v>46207</v>
      </c>
      <c r="D8">
        <v>569</v>
      </c>
      <c r="E8">
        <v>18208</v>
      </c>
      <c r="F8" s="3">
        <v>3.0902777777777777E-3</v>
      </c>
      <c r="G8">
        <v>47.09</v>
      </c>
      <c r="H8">
        <v>19584</v>
      </c>
      <c r="I8">
        <v>1355.6391000000001</v>
      </c>
      <c r="J8">
        <v>68</v>
      </c>
      <c r="K8">
        <v>256240</v>
      </c>
      <c r="L8">
        <v>4.9400000000000004</v>
      </c>
      <c r="M8">
        <v>267</v>
      </c>
      <c r="N8" t="s">
        <v>142</v>
      </c>
      <c r="O8" t="s">
        <v>158</v>
      </c>
      <c r="P8" t="s">
        <v>157</v>
      </c>
      <c r="Q8" s="8">
        <f>IFERROR(M8/D8,"")</f>
        <v>0.46924428822495606</v>
      </c>
      <c r="R8">
        <f>ABS(Q8*100-G8)</f>
        <v>0.16557117750439687</v>
      </c>
    </row>
    <row r="9" spans="1:20" x14ac:dyDescent="0.25">
      <c r="A9" t="s">
        <v>25</v>
      </c>
      <c r="B9" t="s">
        <v>26</v>
      </c>
      <c r="C9" s="1">
        <v>46186</v>
      </c>
      <c r="D9">
        <v>580</v>
      </c>
      <c r="E9">
        <v>121012</v>
      </c>
      <c r="F9" s="3">
        <v>2.1527777777777778E-3</v>
      </c>
      <c r="G9">
        <v>32.229999999999997</v>
      </c>
      <c r="H9">
        <v>126417</v>
      </c>
      <c r="I9">
        <v>6285.9002</v>
      </c>
      <c r="J9">
        <v>314</v>
      </c>
      <c r="K9">
        <v>1619171</v>
      </c>
      <c r="L9">
        <v>5.28</v>
      </c>
      <c r="M9">
        <v>186</v>
      </c>
      <c r="N9" t="s">
        <v>144</v>
      </c>
      <c r="O9" t="s">
        <v>158</v>
      </c>
      <c r="P9" t="s">
        <v>159</v>
      </c>
      <c r="Q9" s="8">
        <f>IFERROR(M9/D9,"")</f>
        <v>0.32068965517241377</v>
      </c>
      <c r="R9">
        <f>ABS(Q9*100-G9)</f>
        <v>0.1610344827586232</v>
      </c>
    </row>
    <row r="10" spans="1:20" x14ac:dyDescent="0.25">
      <c r="A10" t="s">
        <v>113</v>
      </c>
      <c r="B10" t="s">
        <v>114</v>
      </c>
      <c r="C10" s="1">
        <v>46025</v>
      </c>
      <c r="D10">
        <v>432</v>
      </c>
      <c r="E10">
        <v>7508</v>
      </c>
      <c r="F10" s="3">
        <v>2.476851851851852E-3</v>
      </c>
      <c r="G10">
        <v>49.69</v>
      </c>
      <c r="H10">
        <v>7544</v>
      </c>
      <c r="I10">
        <v>447.72449999999998</v>
      </c>
      <c r="J10">
        <v>22</v>
      </c>
      <c r="K10">
        <v>131266</v>
      </c>
      <c r="L10">
        <v>4.2699999999999996</v>
      </c>
      <c r="M10">
        <v>214</v>
      </c>
      <c r="N10" t="s">
        <v>143</v>
      </c>
      <c r="O10" t="s">
        <v>159</v>
      </c>
      <c r="P10" t="s">
        <v>157</v>
      </c>
      <c r="Q10" s="8">
        <f>IFERROR(M10/D10,"")</f>
        <v>0.49537037037037035</v>
      </c>
      <c r="R10">
        <f>ABS(Q10*100-G10)</f>
        <v>0.15296296296295964</v>
      </c>
    </row>
    <row r="11" spans="1:20" x14ac:dyDescent="0.25">
      <c r="A11" t="s">
        <v>33</v>
      </c>
      <c r="B11" t="s">
        <v>34</v>
      </c>
      <c r="C11" s="1">
        <v>46165</v>
      </c>
      <c r="D11">
        <v>576</v>
      </c>
      <c r="E11">
        <v>59555</v>
      </c>
      <c r="F11" s="3">
        <v>2.8472222222222223E-3</v>
      </c>
      <c r="G11">
        <v>42.85</v>
      </c>
      <c r="H11">
        <v>68800</v>
      </c>
      <c r="I11">
        <v>4087.3661999999999</v>
      </c>
      <c r="J11">
        <v>323</v>
      </c>
      <c r="K11">
        <v>877693</v>
      </c>
      <c r="L11">
        <v>5.12</v>
      </c>
      <c r="M11">
        <v>246</v>
      </c>
      <c r="N11" t="s">
        <v>142</v>
      </c>
      <c r="O11" t="s">
        <v>158</v>
      </c>
      <c r="P11" t="s">
        <v>157</v>
      </c>
      <c r="Q11" s="8">
        <f>IFERROR(M11/D11,"")</f>
        <v>0.42708333333333331</v>
      </c>
      <c r="R11">
        <f>ABS(Q11*100-G11)</f>
        <v>0.14166666666667282</v>
      </c>
    </row>
    <row r="12" spans="1:20" x14ac:dyDescent="0.25">
      <c r="A12" t="s">
        <v>13</v>
      </c>
      <c r="B12" t="s">
        <v>14</v>
      </c>
      <c r="C12" s="1">
        <v>45660</v>
      </c>
      <c r="D12">
        <v>340</v>
      </c>
      <c r="E12">
        <v>343445</v>
      </c>
      <c r="F12" s="3">
        <v>1.9212962962962964E-3</v>
      </c>
      <c r="G12">
        <v>48.96</v>
      </c>
      <c r="H12">
        <v>343630</v>
      </c>
      <c r="I12">
        <v>15881.1441</v>
      </c>
      <c r="J12">
        <v>864</v>
      </c>
      <c r="K12">
        <v>4793107</v>
      </c>
      <c r="L12">
        <v>5.77</v>
      </c>
      <c r="M12">
        <v>166</v>
      </c>
      <c r="N12" t="s">
        <v>144</v>
      </c>
      <c r="O12" t="s">
        <v>159</v>
      </c>
      <c r="P12" t="s">
        <v>159</v>
      </c>
      <c r="Q12" s="8">
        <f>IFERROR(M12/D12,"")</f>
        <v>0.48823529411764705</v>
      </c>
      <c r="R12">
        <f>ABS(Q12*100-G12)</f>
        <v>0.1364705882352979</v>
      </c>
    </row>
    <row r="13" spans="1:20" x14ac:dyDescent="0.25">
      <c r="A13" t="s">
        <v>29</v>
      </c>
      <c r="B13" t="s">
        <v>30</v>
      </c>
      <c r="C13" s="1">
        <v>45843</v>
      </c>
      <c r="D13">
        <v>660</v>
      </c>
      <c r="E13">
        <v>74411</v>
      </c>
      <c r="F13" s="3">
        <v>2.662037037037037E-3</v>
      </c>
      <c r="G13">
        <v>34.97</v>
      </c>
      <c r="H13">
        <v>76739</v>
      </c>
      <c r="I13">
        <v>4771.7736999999997</v>
      </c>
      <c r="J13">
        <v>252</v>
      </c>
      <c r="K13">
        <v>849937</v>
      </c>
      <c r="L13">
        <v>6.52</v>
      </c>
      <c r="M13">
        <v>230</v>
      </c>
      <c r="N13" t="s">
        <v>145</v>
      </c>
      <c r="O13" t="s">
        <v>158</v>
      </c>
      <c r="P13" t="s">
        <v>157</v>
      </c>
      <c r="Q13" s="8">
        <f>IFERROR(M13/D13,"")</f>
        <v>0.34848484848484851</v>
      </c>
      <c r="R13">
        <f>ABS(Q13*100-G13)</f>
        <v>0.12151515151514758</v>
      </c>
    </row>
    <row r="14" spans="1:20" x14ac:dyDescent="0.25">
      <c r="A14" t="s">
        <v>91</v>
      </c>
      <c r="B14" t="s">
        <v>92</v>
      </c>
      <c r="C14" s="1">
        <v>46278</v>
      </c>
      <c r="D14">
        <v>543</v>
      </c>
      <c r="E14">
        <v>12428</v>
      </c>
      <c r="F14" s="3">
        <v>3.1712962962962962E-3</v>
      </c>
      <c r="G14">
        <v>50.57</v>
      </c>
      <c r="H14">
        <v>22901</v>
      </c>
      <c r="I14">
        <v>952.01840000000004</v>
      </c>
      <c r="J14">
        <v>40</v>
      </c>
      <c r="K14">
        <v>163825</v>
      </c>
      <c r="L14">
        <v>5.22</v>
      </c>
      <c r="M14">
        <v>274</v>
      </c>
      <c r="N14" t="s">
        <v>142</v>
      </c>
      <c r="O14" t="s">
        <v>158</v>
      </c>
      <c r="P14" t="s">
        <v>157</v>
      </c>
      <c r="Q14" s="8">
        <f>IFERROR(M14/D14,"")</f>
        <v>0.50460405156537758</v>
      </c>
      <c r="R14">
        <f>ABS(Q14*100-G14)</f>
        <v>0.10959484346224002</v>
      </c>
    </row>
    <row r="15" spans="1:20" x14ac:dyDescent="0.25">
      <c r="A15" t="s">
        <v>19</v>
      </c>
      <c r="B15" t="s">
        <v>20</v>
      </c>
      <c r="C15" s="1">
        <v>45667</v>
      </c>
      <c r="D15">
        <v>1102</v>
      </c>
      <c r="E15">
        <v>243320</v>
      </c>
      <c r="F15" s="3">
        <v>4.8032407407407407E-3</v>
      </c>
      <c r="G15">
        <v>37.549999999999997</v>
      </c>
      <c r="H15">
        <v>268949</v>
      </c>
      <c r="I15">
        <v>28070.854500000001</v>
      </c>
      <c r="J15">
        <v>707</v>
      </c>
      <c r="K15">
        <v>4714725</v>
      </c>
      <c r="L15">
        <v>3.98</v>
      </c>
      <c r="M15">
        <v>415</v>
      </c>
      <c r="N15" t="s">
        <v>144</v>
      </c>
      <c r="O15" t="s">
        <v>159</v>
      </c>
      <c r="P15" t="s">
        <v>159</v>
      </c>
      <c r="Q15" s="8">
        <f>IFERROR(M15/D15,"")</f>
        <v>0.37658802177858441</v>
      </c>
      <c r="R15">
        <f>ABS(Q15*100-G15)</f>
        <v>0.10880217785844337</v>
      </c>
    </row>
    <row r="16" spans="1:20" x14ac:dyDescent="0.25">
      <c r="A16" t="s">
        <v>103</v>
      </c>
      <c r="B16" t="s">
        <v>104</v>
      </c>
      <c r="C16" s="1">
        <v>45717</v>
      </c>
      <c r="D16">
        <v>660</v>
      </c>
      <c r="E16">
        <v>9561</v>
      </c>
      <c r="F16" s="3">
        <v>3.6805555555555554E-3</v>
      </c>
      <c r="G16">
        <v>48.29</v>
      </c>
      <c r="H16">
        <v>9571</v>
      </c>
      <c r="I16">
        <v>846.51499999999999</v>
      </c>
      <c r="J16">
        <v>50</v>
      </c>
      <c r="K16">
        <v>123901</v>
      </c>
      <c r="L16">
        <v>5.07</v>
      </c>
      <c r="M16">
        <v>318</v>
      </c>
      <c r="N16" t="s">
        <v>144</v>
      </c>
      <c r="O16" t="s">
        <v>159</v>
      </c>
      <c r="P16" t="s">
        <v>159</v>
      </c>
      <c r="Q16" s="8">
        <f>IFERROR(M16/D16,"")</f>
        <v>0.48181818181818181</v>
      </c>
      <c r="R16">
        <f>ABS(Q16*100-G16)</f>
        <v>0.10818181818181927</v>
      </c>
    </row>
    <row r="17" spans="1:18" x14ac:dyDescent="0.25">
      <c r="A17" t="s">
        <v>45</v>
      </c>
      <c r="B17" t="s">
        <v>46</v>
      </c>
      <c r="C17" s="1">
        <v>45871</v>
      </c>
      <c r="D17">
        <v>733</v>
      </c>
      <c r="E17">
        <v>39311</v>
      </c>
      <c r="F17" s="3">
        <v>3.3912037037037036E-3</v>
      </c>
      <c r="G17">
        <v>40.08</v>
      </c>
      <c r="H17">
        <v>39483</v>
      </c>
      <c r="I17">
        <v>3207.9297000000001</v>
      </c>
      <c r="J17">
        <v>109</v>
      </c>
      <c r="K17">
        <v>604348</v>
      </c>
      <c r="L17">
        <v>4.97</v>
      </c>
      <c r="M17">
        <v>293</v>
      </c>
      <c r="N17" t="s">
        <v>143</v>
      </c>
      <c r="O17" t="s">
        <v>159</v>
      </c>
      <c r="P17" t="s">
        <v>159</v>
      </c>
      <c r="Q17" s="8">
        <f>IFERROR(M17/D17,"")</f>
        <v>0.39972714870395637</v>
      </c>
      <c r="R17">
        <f>ABS(Q17*100-G17)</f>
        <v>0.10728512960436376</v>
      </c>
    </row>
    <row r="18" spans="1:18" x14ac:dyDescent="0.25">
      <c r="A18" t="s">
        <v>81</v>
      </c>
      <c r="B18" t="s">
        <v>82</v>
      </c>
      <c r="C18" s="1">
        <v>46116</v>
      </c>
      <c r="D18">
        <v>565</v>
      </c>
      <c r="E18">
        <v>15504</v>
      </c>
      <c r="F18" s="3">
        <v>3.1365740740740742E-3</v>
      </c>
      <c r="G18">
        <v>48.07</v>
      </c>
      <c r="H18">
        <v>17215</v>
      </c>
      <c r="I18">
        <v>1170.4114999999999</v>
      </c>
      <c r="J18">
        <v>43</v>
      </c>
      <c r="K18">
        <v>236411</v>
      </c>
      <c r="L18">
        <v>4.6500000000000004</v>
      </c>
      <c r="M18">
        <v>271</v>
      </c>
      <c r="N18" t="s">
        <v>142</v>
      </c>
      <c r="O18" t="s">
        <v>158</v>
      </c>
      <c r="P18" t="s">
        <v>157</v>
      </c>
      <c r="Q18" s="8">
        <f>IFERROR(M18/D18,"")</f>
        <v>0.47964601769911502</v>
      </c>
      <c r="R18">
        <f>ABS(Q18*100-G18)</f>
        <v>0.1053982300884968</v>
      </c>
    </row>
    <row r="19" spans="1:18" x14ac:dyDescent="0.25">
      <c r="A19" t="s">
        <v>97</v>
      </c>
      <c r="B19" t="s">
        <v>98</v>
      </c>
      <c r="C19" s="1">
        <v>45920</v>
      </c>
      <c r="D19">
        <v>674</v>
      </c>
      <c r="E19">
        <v>11908</v>
      </c>
      <c r="F19" s="3">
        <v>3.5069444444444445E-3</v>
      </c>
      <c r="G19">
        <v>45.06</v>
      </c>
      <c r="H19">
        <v>12014</v>
      </c>
      <c r="I19">
        <v>1004.702</v>
      </c>
      <c r="J19">
        <v>39</v>
      </c>
      <c r="K19">
        <v>177220</v>
      </c>
      <c r="L19">
        <v>4.59</v>
      </c>
      <c r="M19">
        <v>303</v>
      </c>
      <c r="N19" t="s">
        <v>143</v>
      </c>
      <c r="O19" t="s">
        <v>159</v>
      </c>
      <c r="P19" t="s">
        <v>157</v>
      </c>
      <c r="Q19" s="8">
        <f>IFERROR(M19/D19,"")</f>
        <v>0.44955489614243321</v>
      </c>
      <c r="R19">
        <f>ABS(Q19*100-G19)</f>
        <v>0.10451038575668292</v>
      </c>
    </row>
    <row r="20" spans="1:18" x14ac:dyDescent="0.25">
      <c r="A20" t="s">
        <v>23</v>
      </c>
      <c r="B20" t="s">
        <v>24</v>
      </c>
      <c r="C20" s="1">
        <v>45934</v>
      </c>
      <c r="D20">
        <v>687</v>
      </c>
      <c r="E20">
        <v>122088</v>
      </c>
      <c r="F20" s="3">
        <v>2.8009259259259259E-3</v>
      </c>
      <c r="G20">
        <v>35.33</v>
      </c>
      <c r="H20">
        <v>124300</v>
      </c>
      <c r="I20">
        <v>8233.2451999999994</v>
      </c>
      <c r="J20">
        <v>737</v>
      </c>
      <c r="K20">
        <v>1744243</v>
      </c>
      <c r="L20">
        <v>4.79</v>
      </c>
      <c r="M20">
        <v>242</v>
      </c>
      <c r="N20" t="s">
        <v>142</v>
      </c>
      <c r="O20" t="s">
        <v>158</v>
      </c>
      <c r="P20" t="s">
        <v>157</v>
      </c>
      <c r="Q20" s="8">
        <f>IFERROR(M20/D20,"")</f>
        <v>0.3522561863173217</v>
      </c>
      <c r="R20">
        <f>ABS(Q20*100-G20)</f>
        <v>0.10438136826783051</v>
      </c>
    </row>
    <row r="21" spans="1:18" x14ac:dyDescent="0.25">
      <c r="A21" t="s">
        <v>77</v>
      </c>
      <c r="B21" t="s">
        <v>78</v>
      </c>
      <c r="C21" s="1">
        <v>46172</v>
      </c>
      <c r="D21">
        <v>600</v>
      </c>
      <c r="E21">
        <v>16478</v>
      </c>
      <c r="F21" s="3">
        <v>3.2060185185185186E-3</v>
      </c>
      <c r="G21">
        <v>46.27</v>
      </c>
      <c r="H21">
        <v>16613</v>
      </c>
      <c r="I21">
        <v>1270.6937</v>
      </c>
      <c r="J21">
        <v>91</v>
      </c>
      <c r="K21">
        <v>297318</v>
      </c>
      <c r="L21">
        <v>3.99</v>
      </c>
      <c r="M21">
        <v>277</v>
      </c>
      <c r="N21" t="s">
        <v>144</v>
      </c>
      <c r="O21" t="s">
        <v>159</v>
      </c>
      <c r="P21" t="s">
        <v>159</v>
      </c>
      <c r="Q21" s="8">
        <f>IFERROR(M21/D21,"")</f>
        <v>0.46166666666666667</v>
      </c>
      <c r="R21">
        <f>ABS(Q21*100-G21)</f>
        <v>0.10333333333333883</v>
      </c>
    </row>
    <row r="22" spans="1:18" x14ac:dyDescent="0.25">
      <c r="A22" t="s">
        <v>125</v>
      </c>
      <c r="B22" t="s">
        <v>126</v>
      </c>
      <c r="C22" s="1">
        <v>46088</v>
      </c>
      <c r="D22">
        <v>300</v>
      </c>
      <c r="E22">
        <v>4149</v>
      </c>
      <c r="F22" s="3">
        <v>1.8055555555555555E-3</v>
      </c>
      <c r="G22">
        <v>52.1</v>
      </c>
      <c r="H22">
        <v>4190</v>
      </c>
      <c r="I22">
        <v>180.1463</v>
      </c>
      <c r="J22">
        <v>7</v>
      </c>
      <c r="K22">
        <v>76216</v>
      </c>
      <c r="L22">
        <v>3.86</v>
      </c>
      <c r="M22">
        <v>156</v>
      </c>
      <c r="N22" t="s">
        <v>143</v>
      </c>
      <c r="O22" t="s">
        <v>159</v>
      </c>
      <c r="P22" t="s">
        <v>157</v>
      </c>
      <c r="Q22" s="8">
        <f>IFERROR(M22/D22,"")</f>
        <v>0.52</v>
      </c>
      <c r="R22">
        <f>ABS(Q22*100-G22)</f>
        <v>0.10000000000000142</v>
      </c>
    </row>
    <row r="23" spans="1:18" x14ac:dyDescent="0.25">
      <c r="A23" t="s">
        <v>111</v>
      </c>
      <c r="B23" t="s">
        <v>112</v>
      </c>
      <c r="C23" s="1">
        <v>45698</v>
      </c>
      <c r="D23">
        <v>483</v>
      </c>
      <c r="E23">
        <v>7835</v>
      </c>
      <c r="F23" s="3">
        <v>2.3842592592592591E-3</v>
      </c>
      <c r="G23">
        <v>42.74</v>
      </c>
      <c r="H23">
        <v>7953</v>
      </c>
      <c r="I23">
        <v>449.38060000000002</v>
      </c>
      <c r="J23">
        <v>53</v>
      </c>
      <c r="K23">
        <v>95669</v>
      </c>
      <c r="L23">
        <v>4.3099999999999996</v>
      </c>
      <c r="M23">
        <v>206</v>
      </c>
      <c r="N23" t="s">
        <v>144</v>
      </c>
      <c r="O23" t="s">
        <v>159</v>
      </c>
      <c r="P23" t="s">
        <v>157</v>
      </c>
      <c r="Q23" s="8">
        <f>IFERROR(M23/D23,"")</f>
        <v>0.42650103519668736</v>
      </c>
      <c r="R23">
        <f>ABS(Q23*100-G23)</f>
        <v>8.9896480331269402E-2</v>
      </c>
    </row>
    <row r="24" spans="1:18" x14ac:dyDescent="0.25">
      <c r="A24" t="s">
        <v>15</v>
      </c>
      <c r="B24" t="s">
        <v>16</v>
      </c>
      <c r="C24" s="1">
        <v>45690</v>
      </c>
      <c r="D24">
        <v>650</v>
      </c>
      <c r="E24">
        <v>308038</v>
      </c>
      <c r="F24" s="3">
        <v>2.5000000000000001E-3</v>
      </c>
      <c r="G24">
        <v>33.32</v>
      </c>
      <c r="H24">
        <v>318806</v>
      </c>
      <c r="I24">
        <v>18536.4156</v>
      </c>
      <c r="J24">
        <v>654</v>
      </c>
      <c r="K24">
        <v>4459246</v>
      </c>
      <c r="L24">
        <v>5.29</v>
      </c>
      <c r="M24">
        <v>216</v>
      </c>
      <c r="N24" t="s">
        <v>143</v>
      </c>
      <c r="O24" t="s">
        <v>159</v>
      </c>
      <c r="P24" t="s">
        <v>157</v>
      </c>
      <c r="Q24" s="8">
        <f>IFERROR(M24/D24,"")</f>
        <v>0.3323076923076923</v>
      </c>
      <c r="R24">
        <f>ABS(Q24*100-G24)</f>
        <v>8.9230769230766782E-2</v>
      </c>
    </row>
    <row r="25" spans="1:18" x14ac:dyDescent="0.25">
      <c r="A25" t="s">
        <v>51</v>
      </c>
      <c r="B25" t="s">
        <v>52</v>
      </c>
      <c r="C25" s="1">
        <v>46249</v>
      </c>
      <c r="D25">
        <v>666</v>
      </c>
      <c r="E25">
        <v>33802</v>
      </c>
      <c r="F25" s="3">
        <v>3.2407407407407406E-3</v>
      </c>
      <c r="G25">
        <v>42.13</v>
      </c>
      <c r="H25">
        <v>47001</v>
      </c>
      <c r="I25">
        <v>2640.2294999999999</v>
      </c>
      <c r="J25">
        <v>189</v>
      </c>
      <c r="K25">
        <v>511409</v>
      </c>
      <c r="L25">
        <v>4.47</v>
      </c>
      <c r="M25">
        <v>280</v>
      </c>
      <c r="N25" t="s">
        <v>142</v>
      </c>
      <c r="O25" t="s">
        <v>158</v>
      </c>
      <c r="P25" t="s">
        <v>157</v>
      </c>
      <c r="Q25" s="8">
        <f>IFERROR(M25/D25,"")</f>
        <v>0.42042042042042044</v>
      </c>
      <c r="R25">
        <f>ABS(Q25*100-G25)</f>
        <v>8.7957957957961241E-2</v>
      </c>
    </row>
    <row r="26" spans="1:18" x14ac:dyDescent="0.25">
      <c r="A26" t="s">
        <v>55</v>
      </c>
      <c r="B26" t="s">
        <v>56</v>
      </c>
      <c r="C26" s="1">
        <v>46151</v>
      </c>
      <c r="D26">
        <v>591</v>
      </c>
      <c r="E26">
        <v>30175</v>
      </c>
      <c r="F26" s="3">
        <v>3.1712962962962962E-3</v>
      </c>
      <c r="G26">
        <v>46.45</v>
      </c>
      <c r="H26">
        <v>32720</v>
      </c>
      <c r="I26">
        <v>2301.8960999999999</v>
      </c>
      <c r="J26">
        <v>96</v>
      </c>
      <c r="K26">
        <v>360106</v>
      </c>
      <c r="L26">
        <v>5.6</v>
      </c>
      <c r="M26">
        <v>274</v>
      </c>
      <c r="N26" t="s">
        <v>142</v>
      </c>
      <c r="O26" t="s">
        <v>158</v>
      </c>
      <c r="P26" t="s">
        <v>158</v>
      </c>
      <c r="Q26" s="8">
        <f>IFERROR(M26/D26,"")</f>
        <v>0.46362098138747887</v>
      </c>
      <c r="R26">
        <f>ABS(Q26*100-G26)</f>
        <v>8.7901861252113633E-2</v>
      </c>
    </row>
    <row r="27" spans="1:18" x14ac:dyDescent="0.25">
      <c r="A27" t="s">
        <v>67</v>
      </c>
      <c r="B27" t="s">
        <v>68</v>
      </c>
      <c r="C27" s="1">
        <v>45801</v>
      </c>
      <c r="D27">
        <v>431</v>
      </c>
      <c r="E27">
        <v>19943</v>
      </c>
      <c r="F27" s="3">
        <v>2.5578703703703705E-3</v>
      </c>
      <c r="G27">
        <v>51.36</v>
      </c>
      <c r="H27">
        <v>20262</v>
      </c>
      <c r="I27">
        <v>1226.3905999999999</v>
      </c>
      <c r="J27">
        <v>93</v>
      </c>
      <c r="K27">
        <v>250096</v>
      </c>
      <c r="L27">
        <v>5.53</v>
      </c>
      <c r="M27">
        <v>221</v>
      </c>
      <c r="N27" t="s">
        <v>143</v>
      </c>
      <c r="O27" t="s">
        <v>159</v>
      </c>
      <c r="P27" t="s">
        <v>157</v>
      </c>
      <c r="Q27" s="8">
        <f>IFERROR(M27/D27,"")</f>
        <v>0.51276102088167053</v>
      </c>
      <c r="R27">
        <f>ABS(Q27*100-G27)</f>
        <v>8.3897911832949035E-2</v>
      </c>
    </row>
    <row r="28" spans="1:18" x14ac:dyDescent="0.25">
      <c r="A28" t="s">
        <v>87</v>
      </c>
      <c r="B28" t="s">
        <v>88</v>
      </c>
      <c r="C28" s="1">
        <v>45732</v>
      </c>
      <c r="D28">
        <v>945</v>
      </c>
      <c r="E28">
        <v>13522</v>
      </c>
      <c r="F28" s="3">
        <v>4.2245370370370371E-3</v>
      </c>
      <c r="G28">
        <v>38.700000000000003</v>
      </c>
      <c r="H28">
        <v>13543</v>
      </c>
      <c r="I28">
        <v>1373.5764999999999</v>
      </c>
      <c r="J28">
        <v>28</v>
      </c>
      <c r="K28">
        <v>188427</v>
      </c>
      <c r="L28">
        <v>4.32</v>
      </c>
      <c r="M28">
        <v>365</v>
      </c>
      <c r="N28" t="s">
        <v>145</v>
      </c>
      <c r="O28" t="s">
        <v>157</v>
      </c>
      <c r="P28" t="s">
        <v>158</v>
      </c>
      <c r="Q28" s="8">
        <f>IFERROR(M28/D28,"")</f>
        <v>0.38624338624338622</v>
      </c>
      <c r="R28">
        <f>ABS(Q28*100-G28)</f>
        <v>7.566137566138309E-2</v>
      </c>
    </row>
    <row r="29" spans="1:18" x14ac:dyDescent="0.25">
      <c r="A29" t="s">
        <v>83</v>
      </c>
      <c r="B29" t="s">
        <v>84</v>
      </c>
      <c r="C29" s="1">
        <v>45990</v>
      </c>
      <c r="D29">
        <v>511</v>
      </c>
      <c r="E29">
        <v>15231</v>
      </c>
      <c r="F29" s="3">
        <v>2.8009259259259259E-3</v>
      </c>
      <c r="G29">
        <v>47.43</v>
      </c>
      <c r="H29">
        <v>15330</v>
      </c>
      <c r="I29">
        <v>1025.5288</v>
      </c>
      <c r="J29">
        <v>54</v>
      </c>
      <c r="K29">
        <v>249611</v>
      </c>
      <c r="L29">
        <v>4.6100000000000003</v>
      </c>
      <c r="M29">
        <v>242</v>
      </c>
      <c r="N29" t="s">
        <v>143</v>
      </c>
      <c r="O29" t="s">
        <v>159</v>
      </c>
      <c r="P29" t="s">
        <v>157</v>
      </c>
      <c r="Q29" s="8">
        <f>IFERROR(M29/D29,"")</f>
        <v>0.47358121330724068</v>
      </c>
      <c r="R29">
        <f>ABS(Q29*100-G29)</f>
        <v>7.1878669275932339E-2</v>
      </c>
    </row>
    <row r="30" spans="1:18" x14ac:dyDescent="0.25">
      <c r="A30" t="s">
        <v>35</v>
      </c>
      <c r="B30" t="s">
        <v>36</v>
      </c>
      <c r="C30" s="1">
        <v>46256</v>
      </c>
      <c r="D30">
        <v>581</v>
      </c>
      <c r="E30">
        <v>51893</v>
      </c>
      <c r="F30" s="3">
        <v>2.5694444444444445E-3</v>
      </c>
      <c r="G30">
        <v>38.28</v>
      </c>
      <c r="H30">
        <v>83759</v>
      </c>
      <c r="I30">
        <v>3218.7943</v>
      </c>
      <c r="J30">
        <v>193</v>
      </c>
      <c r="K30">
        <v>602441</v>
      </c>
      <c r="L30">
        <v>5.99</v>
      </c>
      <c r="M30">
        <v>222</v>
      </c>
      <c r="N30" t="s">
        <v>145</v>
      </c>
      <c r="O30" t="s">
        <v>158</v>
      </c>
      <c r="P30" t="s">
        <v>158</v>
      </c>
      <c r="Q30" s="8">
        <f>IFERROR(M30/D30,"")</f>
        <v>0.38209982788296043</v>
      </c>
      <c r="R30">
        <f>ABS(Q30*100-G30)</f>
        <v>7.0017211703955695E-2</v>
      </c>
    </row>
    <row r="31" spans="1:18" x14ac:dyDescent="0.25">
      <c r="A31" t="s">
        <v>109</v>
      </c>
      <c r="B31" t="s">
        <v>110</v>
      </c>
      <c r="C31" s="1">
        <v>45765</v>
      </c>
      <c r="D31">
        <v>601</v>
      </c>
      <c r="E31">
        <v>8387</v>
      </c>
      <c r="F31" s="3">
        <v>2.3032407407407407E-3</v>
      </c>
      <c r="G31">
        <v>33.18</v>
      </c>
      <c r="H31">
        <v>8397</v>
      </c>
      <c r="I31">
        <v>464.58179999999999</v>
      </c>
      <c r="J31">
        <v>35</v>
      </c>
      <c r="K31">
        <v>95024</v>
      </c>
      <c r="L31">
        <v>6.16</v>
      </c>
      <c r="M31">
        <v>199</v>
      </c>
      <c r="N31" t="s">
        <v>143</v>
      </c>
      <c r="O31" t="s">
        <v>159</v>
      </c>
      <c r="P31" t="s">
        <v>157</v>
      </c>
      <c r="Q31" s="8">
        <f>IFERROR(M31/D31,"")</f>
        <v>0.33111480865224624</v>
      </c>
      <c r="R31">
        <f>ABS(Q31*100-G31)</f>
        <v>6.8519134775378632E-2</v>
      </c>
    </row>
    <row r="32" spans="1:18" x14ac:dyDescent="0.25">
      <c r="A32" t="s">
        <v>59</v>
      </c>
      <c r="B32" t="s">
        <v>60</v>
      </c>
      <c r="C32" s="1">
        <v>46264</v>
      </c>
      <c r="D32">
        <v>505</v>
      </c>
      <c r="E32">
        <v>24022</v>
      </c>
      <c r="F32" s="3">
        <v>2.6157407407407405E-3</v>
      </c>
      <c r="G32">
        <v>44.82</v>
      </c>
      <c r="H32">
        <v>53667</v>
      </c>
      <c r="I32">
        <v>1522.9526000000001</v>
      </c>
      <c r="J32">
        <v>73</v>
      </c>
      <c r="K32">
        <v>330401</v>
      </c>
      <c r="L32">
        <v>4.95</v>
      </c>
      <c r="M32">
        <v>226</v>
      </c>
      <c r="N32" t="s">
        <v>142</v>
      </c>
      <c r="O32" t="s">
        <v>158</v>
      </c>
      <c r="P32" t="s">
        <v>157</v>
      </c>
      <c r="Q32" s="8">
        <f>IFERROR(M32/D32,"")</f>
        <v>0.44752475247524753</v>
      </c>
      <c r="R32">
        <f>ABS(Q32*100-G32)</f>
        <v>6.7524752475243588E-2</v>
      </c>
    </row>
    <row r="33" spans="1:18" x14ac:dyDescent="0.25">
      <c r="A33" t="s">
        <v>79</v>
      </c>
      <c r="B33" t="s">
        <v>80</v>
      </c>
      <c r="C33" s="1">
        <v>45948</v>
      </c>
      <c r="D33">
        <v>534</v>
      </c>
      <c r="E33">
        <v>16124</v>
      </c>
      <c r="F33" s="3">
        <v>2.9050925925925928E-3</v>
      </c>
      <c r="G33">
        <v>47.07</v>
      </c>
      <c r="H33">
        <v>16610</v>
      </c>
      <c r="I33">
        <v>1125.8776</v>
      </c>
      <c r="J33">
        <v>59</v>
      </c>
      <c r="K33">
        <v>277039</v>
      </c>
      <c r="L33">
        <v>4.2699999999999996</v>
      </c>
      <c r="M33">
        <v>251</v>
      </c>
      <c r="N33" t="s">
        <v>143</v>
      </c>
      <c r="O33" t="s">
        <v>159</v>
      </c>
      <c r="P33" t="s">
        <v>157</v>
      </c>
      <c r="Q33" s="8">
        <f>IFERROR(M33/D33,"")</f>
        <v>0.47003745318352058</v>
      </c>
      <c r="R33">
        <f>ABS(Q33*100-G33)</f>
        <v>6.6254681647940572E-2</v>
      </c>
    </row>
    <row r="34" spans="1:18" x14ac:dyDescent="0.25">
      <c r="A34" t="s">
        <v>89</v>
      </c>
      <c r="B34" t="s">
        <v>90</v>
      </c>
      <c r="C34" s="1">
        <v>45794</v>
      </c>
      <c r="D34">
        <v>506</v>
      </c>
      <c r="E34">
        <v>13519</v>
      </c>
      <c r="F34" s="3">
        <v>2.5578703703703705E-3</v>
      </c>
      <c r="G34">
        <v>43.74</v>
      </c>
      <c r="H34">
        <v>13547</v>
      </c>
      <c r="I34">
        <v>831.13379999999995</v>
      </c>
      <c r="J34">
        <v>48</v>
      </c>
      <c r="K34">
        <v>181774</v>
      </c>
      <c r="L34">
        <v>5.43</v>
      </c>
      <c r="M34">
        <v>221</v>
      </c>
      <c r="N34" t="s">
        <v>152</v>
      </c>
      <c r="O34" t="s">
        <v>158</v>
      </c>
      <c r="P34" t="s">
        <v>159</v>
      </c>
      <c r="Q34" s="8">
        <f>IFERROR(M34/D34,"")</f>
        <v>0.43675889328063239</v>
      </c>
      <c r="R34">
        <f>ABS(Q34*100-G34)</f>
        <v>6.41106719367599E-2</v>
      </c>
    </row>
    <row r="35" spans="1:18" x14ac:dyDescent="0.25">
      <c r="A35" t="s">
        <v>117</v>
      </c>
      <c r="B35" t="s">
        <v>118</v>
      </c>
      <c r="C35" s="1">
        <v>45740</v>
      </c>
      <c r="D35">
        <v>608</v>
      </c>
      <c r="E35">
        <v>6803</v>
      </c>
      <c r="F35" s="3">
        <v>2.9398148148148148E-3</v>
      </c>
      <c r="G35">
        <v>41.84</v>
      </c>
      <c r="H35">
        <v>6920</v>
      </c>
      <c r="I35">
        <v>480.73039999999997</v>
      </c>
      <c r="J35">
        <v>23</v>
      </c>
      <c r="K35">
        <v>93828</v>
      </c>
      <c r="L35">
        <v>4.68</v>
      </c>
      <c r="M35">
        <v>254</v>
      </c>
      <c r="N35" t="s">
        <v>144</v>
      </c>
      <c r="O35" t="s">
        <v>159</v>
      </c>
      <c r="P35" t="s">
        <v>157</v>
      </c>
      <c r="Q35" s="8">
        <f>IFERROR(M35/D35,"")</f>
        <v>0.41776315789473684</v>
      </c>
      <c r="R35">
        <f>ABS(Q35*100-G35)</f>
        <v>6.3684210526318452E-2</v>
      </c>
    </row>
    <row r="36" spans="1:18" x14ac:dyDescent="0.25">
      <c r="A36" t="s">
        <v>17</v>
      </c>
      <c r="B36" t="s">
        <v>18</v>
      </c>
      <c r="C36" s="1">
        <v>45829</v>
      </c>
      <c r="D36">
        <v>1786</v>
      </c>
      <c r="E36">
        <v>290435</v>
      </c>
      <c r="F36" s="3">
        <v>3.5069444444444445E-3</v>
      </c>
      <c r="G36">
        <v>17.02</v>
      </c>
      <c r="H36">
        <v>294569</v>
      </c>
      <c r="I36">
        <v>24526.451499999999</v>
      </c>
      <c r="J36">
        <v>806</v>
      </c>
      <c r="K36">
        <v>3379091</v>
      </c>
      <c r="L36">
        <v>6.34</v>
      </c>
      <c r="M36">
        <v>303</v>
      </c>
      <c r="N36" t="s">
        <v>145</v>
      </c>
      <c r="O36" t="s">
        <v>158</v>
      </c>
      <c r="P36" t="s">
        <v>157</v>
      </c>
      <c r="Q36" s="8">
        <f>IFERROR(M36/D36,"")</f>
        <v>0.1696528555431131</v>
      </c>
      <c r="R36">
        <f>ABS(Q36*100-G36)</f>
        <v>5.4714445688688329E-2</v>
      </c>
    </row>
    <row r="37" spans="1:18" x14ac:dyDescent="0.25">
      <c r="A37" t="s">
        <v>123</v>
      </c>
      <c r="B37" t="s">
        <v>124</v>
      </c>
      <c r="C37" s="1">
        <v>45725</v>
      </c>
      <c r="D37">
        <v>417</v>
      </c>
      <c r="E37">
        <v>4433</v>
      </c>
      <c r="F37" s="3">
        <v>2.4189814814814816E-3</v>
      </c>
      <c r="G37">
        <v>50.17</v>
      </c>
      <c r="H37">
        <v>4443</v>
      </c>
      <c r="I37">
        <v>257.64139999999998</v>
      </c>
      <c r="J37">
        <v>33</v>
      </c>
      <c r="K37">
        <v>75711</v>
      </c>
      <c r="L37">
        <v>3.89</v>
      </c>
      <c r="M37">
        <v>209</v>
      </c>
      <c r="N37" t="s">
        <v>144</v>
      </c>
      <c r="O37" t="s">
        <v>159</v>
      </c>
      <c r="P37" t="s">
        <v>157</v>
      </c>
      <c r="Q37" s="8">
        <f>IFERROR(M37/D37,"")</f>
        <v>0.50119904076738608</v>
      </c>
      <c r="R37">
        <f>ABS(Q37*100-G37)</f>
        <v>5.0095923261395114E-2</v>
      </c>
    </row>
    <row r="38" spans="1:18" x14ac:dyDescent="0.25">
      <c r="A38" t="s">
        <v>105</v>
      </c>
      <c r="B38" t="s">
        <v>106</v>
      </c>
      <c r="C38" s="1">
        <v>46284</v>
      </c>
      <c r="D38">
        <v>727</v>
      </c>
      <c r="E38">
        <v>8943</v>
      </c>
      <c r="F38" s="3">
        <v>3.9467592592592592E-3</v>
      </c>
      <c r="G38">
        <v>46.95</v>
      </c>
      <c r="H38">
        <v>20245</v>
      </c>
      <c r="I38">
        <v>852.33680000000004</v>
      </c>
      <c r="J38">
        <v>13</v>
      </c>
      <c r="K38">
        <v>154126</v>
      </c>
      <c r="L38">
        <v>4.09</v>
      </c>
      <c r="M38">
        <v>341</v>
      </c>
      <c r="N38" t="s">
        <v>145</v>
      </c>
      <c r="O38" t="s">
        <v>158</v>
      </c>
      <c r="P38" t="s">
        <v>158</v>
      </c>
      <c r="Q38" s="8">
        <f>IFERROR(M38/D38,"")</f>
        <v>0.469050894085282</v>
      </c>
      <c r="R38">
        <f>ABS(Q38*100-G38)</f>
        <v>4.4910591471804651E-2</v>
      </c>
    </row>
    <row r="39" spans="1:18" x14ac:dyDescent="0.25">
      <c r="A39" t="s">
        <v>21</v>
      </c>
      <c r="B39" t="s">
        <v>22</v>
      </c>
      <c r="C39" s="1">
        <v>45892</v>
      </c>
      <c r="D39">
        <v>677</v>
      </c>
      <c r="E39">
        <v>196047</v>
      </c>
      <c r="F39" s="3">
        <v>3.0555555555555557E-3</v>
      </c>
      <c r="G39">
        <v>39.04</v>
      </c>
      <c r="H39">
        <v>202692</v>
      </c>
      <c r="I39">
        <v>14397.21</v>
      </c>
      <c r="J39">
        <v>1083</v>
      </c>
      <c r="K39">
        <v>2861083</v>
      </c>
      <c r="L39">
        <v>4.97</v>
      </c>
      <c r="M39">
        <v>264</v>
      </c>
      <c r="N39" t="s">
        <v>142</v>
      </c>
      <c r="O39" t="s">
        <v>158</v>
      </c>
      <c r="P39" t="s">
        <v>157</v>
      </c>
      <c r="Q39" s="8">
        <f>IFERROR(M39/D39,"")</f>
        <v>0.38995568685376664</v>
      </c>
      <c r="R39">
        <f>ABS(Q39*100-G39)</f>
        <v>4.443131462333838E-2</v>
      </c>
    </row>
    <row r="40" spans="1:18" x14ac:dyDescent="0.25">
      <c r="A40" t="s">
        <v>57</v>
      </c>
      <c r="B40" t="s">
        <v>58</v>
      </c>
      <c r="C40" s="1">
        <v>45976</v>
      </c>
      <c r="D40">
        <v>1113</v>
      </c>
      <c r="E40">
        <v>26655</v>
      </c>
      <c r="F40" s="3">
        <v>4.7800925925925927E-3</v>
      </c>
      <c r="G40">
        <v>37.15</v>
      </c>
      <c r="H40">
        <v>26748</v>
      </c>
      <c r="I40">
        <v>3061.1640000000002</v>
      </c>
      <c r="J40">
        <v>127</v>
      </c>
      <c r="K40">
        <v>570209</v>
      </c>
      <c r="L40">
        <v>3.57</v>
      </c>
      <c r="M40">
        <v>413</v>
      </c>
      <c r="N40" t="s">
        <v>144</v>
      </c>
      <c r="O40" t="s">
        <v>159</v>
      </c>
      <c r="P40" t="s">
        <v>159</v>
      </c>
      <c r="Q40" s="8">
        <f>IFERROR(M40/D40,"")</f>
        <v>0.37106918238993708</v>
      </c>
      <c r="R40">
        <f>ABS(Q40*100-G40)</f>
        <v>4.3081761006291686E-2</v>
      </c>
    </row>
    <row r="41" spans="1:18" x14ac:dyDescent="0.25">
      <c r="A41" t="s">
        <v>75</v>
      </c>
      <c r="B41" t="s">
        <v>76</v>
      </c>
      <c r="C41" s="1">
        <v>46214</v>
      </c>
      <c r="D41">
        <v>705</v>
      </c>
      <c r="E41">
        <v>17637</v>
      </c>
      <c r="F41" s="3">
        <v>3.6458333333333334E-3</v>
      </c>
      <c r="G41">
        <v>44.72</v>
      </c>
      <c r="H41">
        <v>20125</v>
      </c>
      <c r="I41">
        <v>1545.7958000000001</v>
      </c>
      <c r="J41">
        <v>59</v>
      </c>
      <c r="K41">
        <v>230187</v>
      </c>
      <c r="L41">
        <v>4.99</v>
      </c>
      <c r="M41">
        <v>315</v>
      </c>
      <c r="N41" t="s">
        <v>145</v>
      </c>
      <c r="O41" t="s">
        <v>159</v>
      </c>
      <c r="P41" t="s">
        <v>157</v>
      </c>
      <c r="Q41" s="8">
        <f>IFERROR(M41/D41,"")</f>
        <v>0.44680851063829785</v>
      </c>
      <c r="R41">
        <f>ABS(Q41*100-G41)</f>
        <v>3.9148936170214199E-2</v>
      </c>
    </row>
    <row r="42" spans="1:18" x14ac:dyDescent="0.25">
      <c r="A42" t="s">
        <v>101</v>
      </c>
      <c r="B42" t="s">
        <v>102</v>
      </c>
      <c r="C42" s="1">
        <v>46053</v>
      </c>
      <c r="D42">
        <v>544</v>
      </c>
      <c r="E42">
        <v>11027</v>
      </c>
      <c r="F42" s="3">
        <v>2.9513888888888888E-3</v>
      </c>
      <c r="G42">
        <v>46.91</v>
      </c>
      <c r="H42">
        <v>11749</v>
      </c>
      <c r="I42">
        <v>782.05340000000001</v>
      </c>
      <c r="J42">
        <v>29</v>
      </c>
      <c r="K42">
        <v>173615</v>
      </c>
      <c r="L42">
        <v>4.54</v>
      </c>
      <c r="M42">
        <v>255</v>
      </c>
      <c r="N42" t="s">
        <v>142</v>
      </c>
      <c r="O42" t="s">
        <v>158</v>
      </c>
      <c r="P42" t="s">
        <v>157</v>
      </c>
      <c r="Q42" s="8">
        <f>IFERROR(M42/D42,"")</f>
        <v>0.46875</v>
      </c>
      <c r="R42">
        <f>ABS(Q42*100-G42)</f>
        <v>3.4999999999996589E-2</v>
      </c>
    </row>
    <row r="43" spans="1:18" x14ac:dyDescent="0.25">
      <c r="A43" t="s">
        <v>95</v>
      </c>
      <c r="B43" t="s">
        <v>96</v>
      </c>
      <c r="C43" s="1">
        <v>46158</v>
      </c>
      <c r="D43">
        <v>742</v>
      </c>
      <c r="E43">
        <v>12163</v>
      </c>
      <c r="F43" s="3">
        <v>3.9467592592592592E-3</v>
      </c>
      <c r="G43">
        <v>45.99</v>
      </c>
      <c r="H43">
        <v>12987</v>
      </c>
      <c r="I43">
        <v>1153.1944000000001</v>
      </c>
      <c r="J43">
        <v>39</v>
      </c>
      <c r="K43">
        <v>179912</v>
      </c>
      <c r="L43">
        <v>4.2</v>
      </c>
      <c r="M43">
        <v>341</v>
      </c>
      <c r="N43" t="s">
        <v>145</v>
      </c>
      <c r="O43" t="s">
        <v>158</v>
      </c>
      <c r="P43" t="s">
        <v>157</v>
      </c>
      <c r="Q43" s="8">
        <f>IFERROR(M43/D43,"")</f>
        <v>0.45956873315363883</v>
      </c>
      <c r="R43">
        <f>ABS(Q43*100-G43)</f>
        <v>3.3126684636116011E-2</v>
      </c>
    </row>
    <row r="44" spans="1:18" x14ac:dyDescent="0.25">
      <c r="A44" t="s">
        <v>43</v>
      </c>
      <c r="B44" t="s">
        <v>44</v>
      </c>
      <c r="C44" s="1">
        <v>45962</v>
      </c>
      <c r="D44">
        <v>789</v>
      </c>
      <c r="E44">
        <v>43561</v>
      </c>
      <c r="F44" s="3">
        <v>3.8773148148148148E-3</v>
      </c>
      <c r="G44">
        <v>42.49</v>
      </c>
      <c r="H44">
        <v>45437</v>
      </c>
      <c r="I44">
        <v>4057.4549000000002</v>
      </c>
      <c r="J44">
        <v>205</v>
      </c>
      <c r="K44">
        <v>688279</v>
      </c>
      <c r="L44">
        <v>4.3899999999999997</v>
      </c>
      <c r="M44">
        <v>335</v>
      </c>
      <c r="N44" t="s">
        <v>142</v>
      </c>
      <c r="O44" t="s">
        <v>158</v>
      </c>
      <c r="P44" t="s">
        <v>157</v>
      </c>
      <c r="Q44" s="8">
        <f>IFERROR(M44/D44,"")</f>
        <v>0.42458808618504434</v>
      </c>
      <c r="R44">
        <f>ABS(Q44*100-G44)</f>
        <v>3.1191381495567327E-2</v>
      </c>
    </row>
    <row r="45" spans="1:18" x14ac:dyDescent="0.25">
      <c r="A45" t="s">
        <v>47</v>
      </c>
      <c r="B45" t="s">
        <v>48</v>
      </c>
      <c r="C45" s="1">
        <v>46102</v>
      </c>
      <c r="D45">
        <v>584</v>
      </c>
      <c r="E45">
        <v>36799</v>
      </c>
      <c r="F45" s="3">
        <v>3.0902777777777777E-3</v>
      </c>
      <c r="G45">
        <v>45.75</v>
      </c>
      <c r="H45">
        <v>40523</v>
      </c>
      <c r="I45">
        <v>2732.3836000000001</v>
      </c>
      <c r="J45">
        <v>126</v>
      </c>
      <c r="K45">
        <v>415001</v>
      </c>
      <c r="L45">
        <v>6.36</v>
      </c>
      <c r="M45">
        <v>267</v>
      </c>
      <c r="N45" t="s">
        <v>142</v>
      </c>
      <c r="O45" t="s">
        <v>158</v>
      </c>
      <c r="P45" t="s">
        <v>157</v>
      </c>
      <c r="Q45" s="8">
        <f>IFERROR(M45/D45,"")</f>
        <v>0.4571917808219178</v>
      </c>
      <c r="R45">
        <f>ABS(Q45*100-G45)</f>
        <v>3.0821917808218302E-2</v>
      </c>
    </row>
    <row r="46" spans="1:18" x14ac:dyDescent="0.25">
      <c r="A46" t="s">
        <v>65</v>
      </c>
      <c r="B46" t="s">
        <v>66</v>
      </c>
      <c r="C46" s="1">
        <v>45756</v>
      </c>
      <c r="D46">
        <v>1330</v>
      </c>
      <c r="E46">
        <v>21372</v>
      </c>
      <c r="F46" s="3">
        <v>4.6643518518518518E-3</v>
      </c>
      <c r="G46">
        <v>30.33</v>
      </c>
      <c r="H46">
        <v>21451</v>
      </c>
      <c r="I46">
        <v>2394.8665999999998</v>
      </c>
      <c r="J46">
        <v>78</v>
      </c>
      <c r="K46">
        <v>300978</v>
      </c>
      <c r="L46">
        <v>5.18</v>
      </c>
      <c r="M46">
        <v>403</v>
      </c>
      <c r="N46" t="s">
        <v>145</v>
      </c>
      <c r="O46" t="s">
        <v>157</v>
      </c>
      <c r="P46" t="s">
        <v>157</v>
      </c>
      <c r="Q46" s="8">
        <f>IFERROR(M46/D46,"")</f>
        <v>0.3030075187969925</v>
      </c>
      <c r="R46">
        <f>ABS(Q46*100-G46)</f>
        <v>2.9248120300749747E-2</v>
      </c>
    </row>
    <row r="47" spans="1:18" x14ac:dyDescent="0.25">
      <c r="A47" t="s">
        <v>69</v>
      </c>
      <c r="B47" t="s">
        <v>70</v>
      </c>
      <c r="C47" s="1">
        <v>46144</v>
      </c>
      <c r="D47">
        <v>516</v>
      </c>
      <c r="E47">
        <v>19346</v>
      </c>
      <c r="F47" s="3">
        <v>2.8703703703703703E-3</v>
      </c>
      <c r="G47">
        <v>48.09</v>
      </c>
      <c r="H47">
        <v>21636</v>
      </c>
      <c r="I47">
        <v>1334.4702</v>
      </c>
      <c r="J47">
        <v>68</v>
      </c>
      <c r="K47">
        <v>261193</v>
      </c>
      <c r="L47">
        <v>4.97</v>
      </c>
      <c r="M47">
        <v>248</v>
      </c>
      <c r="N47" t="s">
        <v>142</v>
      </c>
      <c r="O47" t="s">
        <v>158</v>
      </c>
      <c r="P47" t="s">
        <v>157</v>
      </c>
      <c r="Q47" s="8">
        <f>IFERROR(M47/D47,"")</f>
        <v>0.48062015503875971</v>
      </c>
      <c r="R47">
        <f>ABS(Q47*100-G47)</f>
        <v>2.7984496124034308E-2</v>
      </c>
    </row>
    <row r="48" spans="1:18" x14ac:dyDescent="0.25">
      <c r="A48" t="s">
        <v>41</v>
      </c>
      <c r="B48" t="s">
        <v>42</v>
      </c>
      <c r="C48" s="1">
        <v>46018</v>
      </c>
      <c r="D48">
        <v>731</v>
      </c>
      <c r="E48">
        <v>47614</v>
      </c>
      <c r="F48" s="3">
        <v>3.5648148148148149E-3</v>
      </c>
      <c r="G48">
        <v>42.16</v>
      </c>
      <c r="H48">
        <v>49251</v>
      </c>
      <c r="I48">
        <v>4076.6716999999999</v>
      </c>
      <c r="J48">
        <v>307</v>
      </c>
      <c r="K48">
        <v>740014</v>
      </c>
      <c r="L48">
        <v>4.59</v>
      </c>
      <c r="M48">
        <v>308</v>
      </c>
      <c r="N48" t="s">
        <v>142</v>
      </c>
      <c r="O48" t="s">
        <v>158</v>
      </c>
      <c r="P48" t="s">
        <v>157</v>
      </c>
      <c r="Q48" s="8">
        <f>IFERROR(M48/D48,"")</f>
        <v>0.42134062927496579</v>
      </c>
      <c r="R48">
        <f>ABS(Q48*100-G48)</f>
        <v>2.5937072503417369E-2</v>
      </c>
    </row>
    <row r="49" spans="1:18" x14ac:dyDescent="0.25">
      <c r="A49" t="s">
        <v>27</v>
      </c>
      <c r="B49" t="s">
        <v>28</v>
      </c>
      <c r="C49" s="1">
        <v>45906</v>
      </c>
      <c r="D49">
        <v>824</v>
      </c>
      <c r="E49">
        <v>86438</v>
      </c>
      <c r="F49" s="3">
        <v>3.7037037037037038E-3</v>
      </c>
      <c r="G49">
        <v>38.86</v>
      </c>
      <c r="H49">
        <v>88607</v>
      </c>
      <c r="I49">
        <v>7689.1917000000003</v>
      </c>
      <c r="J49">
        <v>571</v>
      </c>
      <c r="K49">
        <v>1273157</v>
      </c>
      <c r="L49">
        <v>4.7</v>
      </c>
      <c r="M49">
        <v>320</v>
      </c>
      <c r="N49" t="s">
        <v>142</v>
      </c>
      <c r="O49" t="s">
        <v>158</v>
      </c>
      <c r="P49" t="s">
        <v>157</v>
      </c>
      <c r="Q49" s="8">
        <f>IFERROR(M49/D49,"")</f>
        <v>0.38834951456310679</v>
      </c>
      <c r="R49">
        <f>ABS(Q49*100-G49)</f>
        <v>2.5048543689322855E-2</v>
      </c>
    </row>
    <row r="50" spans="1:18" x14ac:dyDescent="0.25">
      <c r="A50" t="s">
        <v>61</v>
      </c>
      <c r="B50" t="s">
        <v>62</v>
      </c>
      <c r="C50" s="1">
        <v>46039</v>
      </c>
      <c r="D50">
        <v>834</v>
      </c>
      <c r="E50">
        <v>23211</v>
      </c>
      <c r="F50" s="3">
        <v>4.0625000000000001E-3</v>
      </c>
      <c r="G50">
        <v>42.11</v>
      </c>
      <c r="H50">
        <v>24684</v>
      </c>
      <c r="I50">
        <v>2264.7197999999999</v>
      </c>
      <c r="J50">
        <v>98</v>
      </c>
      <c r="K50">
        <v>340931</v>
      </c>
      <c r="L50">
        <v>4.78</v>
      </c>
      <c r="M50">
        <v>351</v>
      </c>
      <c r="N50" t="s">
        <v>142</v>
      </c>
      <c r="O50" t="s">
        <v>158</v>
      </c>
      <c r="P50" t="s">
        <v>157</v>
      </c>
      <c r="Q50" s="8">
        <f>IFERROR(M50/D50,"")</f>
        <v>0.42086330935251798</v>
      </c>
      <c r="R50">
        <f>ABS(Q50*100-G50)</f>
        <v>2.366906474820496E-2</v>
      </c>
    </row>
    <row r="51" spans="1:18" x14ac:dyDescent="0.25">
      <c r="A51" t="s">
        <v>107</v>
      </c>
      <c r="B51" t="s">
        <v>108</v>
      </c>
      <c r="C51" s="1">
        <v>46292</v>
      </c>
      <c r="D51">
        <v>612</v>
      </c>
      <c r="E51">
        <v>8874</v>
      </c>
      <c r="F51" s="3">
        <v>3.5995370370370369E-3</v>
      </c>
      <c r="G51">
        <v>50.84</v>
      </c>
      <c r="H51">
        <v>16638</v>
      </c>
      <c r="I51">
        <v>770.05010000000004</v>
      </c>
      <c r="J51">
        <v>30</v>
      </c>
      <c r="K51">
        <v>112225</v>
      </c>
      <c r="L51">
        <v>5.65</v>
      </c>
      <c r="M51">
        <v>311</v>
      </c>
      <c r="N51" t="s">
        <v>142</v>
      </c>
      <c r="O51" t="s">
        <v>158</v>
      </c>
      <c r="P51" t="s">
        <v>157</v>
      </c>
      <c r="Q51" s="8">
        <f>IFERROR(M51/D51,"")</f>
        <v>0.50816993464052285</v>
      </c>
      <c r="R51">
        <f>ABS(Q51*100-G51)</f>
        <v>2.3006535947715179E-2</v>
      </c>
    </row>
    <row r="52" spans="1:18" x14ac:dyDescent="0.25">
      <c r="A52" t="s">
        <v>53</v>
      </c>
      <c r="B52" t="s">
        <v>54</v>
      </c>
      <c r="C52" s="1">
        <v>46179</v>
      </c>
      <c r="D52">
        <v>671</v>
      </c>
      <c r="E52">
        <v>33125</v>
      </c>
      <c r="F52" s="3">
        <v>3.3680555555555556E-3</v>
      </c>
      <c r="G52">
        <v>43.39</v>
      </c>
      <c r="H52">
        <v>37055</v>
      </c>
      <c r="I52">
        <v>2680.5043000000001</v>
      </c>
      <c r="J52">
        <v>142</v>
      </c>
      <c r="K52">
        <v>482140</v>
      </c>
      <c r="L52">
        <v>4.79</v>
      </c>
      <c r="M52">
        <v>291</v>
      </c>
      <c r="N52" t="s">
        <v>142</v>
      </c>
      <c r="O52" t="s">
        <v>158</v>
      </c>
      <c r="P52" t="s">
        <v>157</v>
      </c>
      <c r="Q52" s="8">
        <f>IFERROR(M52/D52,"")</f>
        <v>0.43368107302533532</v>
      </c>
      <c r="R52">
        <f>ABS(Q52*100-G52)</f>
        <v>2.1892697466469713E-2</v>
      </c>
    </row>
    <row r="53" spans="1:18" x14ac:dyDescent="0.25">
      <c r="A53" t="s">
        <v>39</v>
      </c>
      <c r="B53" t="s">
        <v>40</v>
      </c>
      <c r="C53" s="1">
        <v>45774</v>
      </c>
      <c r="D53">
        <v>1172</v>
      </c>
      <c r="E53">
        <v>50578</v>
      </c>
      <c r="F53" s="3">
        <v>4.6990740740740743E-3</v>
      </c>
      <c r="G53">
        <v>34.659999999999997</v>
      </c>
      <c r="H53">
        <v>51658</v>
      </c>
      <c r="I53">
        <v>5706.7194</v>
      </c>
      <c r="J53">
        <v>336</v>
      </c>
      <c r="K53">
        <v>780318</v>
      </c>
      <c r="L53">
        <v>4.29</v>
      </c>
      <c r="M53">
        <v>406</v>
      </c>
      <c r="N53" t="s">
        <v>143</v>
      </c>
      <c r="O53" t="s">
        <v>159</v>
      </c>
      <c r="P53" t="s">
        <v>157</v>
      </c>
      <c r="Q53" s="8">
        <f>IFERROR(M53/D53,"")</f>
        <v>0.34641638225255972</v>
      </c>
      <c r="R53">
        <f>ABS(Q53*100-G53)</f>
        <v>1.8361774744022341E-2</v>
      </c>
    </row>
    <row r="54" spans="1:18" x14ac:dyDescent="0.25">
      <c r="A54" t="s">
        <v>115</v>
      </c>
      <c r="B54" t="s">
        <v>116</v>
      </c>
      <c r="C54" s="1">
        <v>45815</v>
      </c>
      <c r="D54">
        <v>849</v>
      </c>
      <c r="E54">
        <v>6983</v>
      </c>
      <c r="F54" s="3">
        <v>4.43287037037037E-3</v>
      </c>
      <c r="G54">
        <v>45.13</v>
      </c>
      <c r="H54">
        <v>7013</v>
      </c>
      <c r="I54">
        <v>743.18520000000001</v>
      </c>
      <c r="J54">
        <v>60</v>
      </c>
      <c r="K54">
        <v>137424</v>
      </c>
      <c r="L54">
        <v>3.55</v>
      </c>
      <c r="M54">
        <v>383</v>
      </c>
      <c r="N54" t="s">
        <v>145</v>
      </c>
      <c r="O54" t="s">
        <v>157</v>
      </c>
      <c r="P54" t="s">
        <v>157</v>
      </c>
      <c r="Q54" s="8">
        <f>IFERROR(M54/D54,"")</f>
        <v>0.45111896348645464</v>
      </c>
      <c r="R54">
        <f>ABS(Q54*100-G54)</f>
        <v>1.810365135453651E-2</v>
      </c>
    </row>
    <row r="55" spans="1:18" x14ac:dyDescent="0.25">
      <c r="A55" t="s">
        <v>37</v>
      </c>
      <c r="B55" t="s">
        <v>38</v>
      </c>
      <c r="C55" s="1">
        <v>46193</v>
      </c>
      <c r="D55">
        <v>624</v>
      </c>
      <c r="E55">
        <v>51855</v>
      </c>
      <c r="F55" s="3">
        <v>2.9166666666666668E-3</v>
      </c>
      <c r="G55">
        <v>40.4</v>
      </c>
      <c r="H55">
        <v>59588</v>
      </c>
      <c r="I55">
        <v>3635.0286999999998</v>
      </c>
      <c r="J55">
        <v>225</v>
      </c>
      <c r="K55">
        <v>702985</v>
      </c>
      <c r="L55">
        <v>5.21</v>
      </c>
      <c r="M55">
        <v>252</v>
      </c>
      <c r="N55" t="s">
        <v>142</v>
      </c>
      <c r="O55" t="s">
        <v>158</v>
      </c>
      <c r="P55" t="s">
        <v>157</v>
      </c>
      <c r="Q55" s="8">
        <f>IFERROR(M55/D55,"")</f>
        <v>0.40384615384615385</v>
      </c>
      <c r="R55">
        <f>ABS(Q55*100-G55)</f>
        <v>1.5384615384611777E-2</v>
      </c>
    </row>
    <row r="56" spans="1:18" x14ac:dyDescent="0.25">
      <c r="A56" t="s">
        <v>85</v>
      </c>
      <c r="B56" t="s">
        <v>86</v>
      </c>
      <c r="C56" s="1">
        <v>46222</v>
      </c>
      <c r="D56">
        <v>683</v>
      </c>
      <c r="E56">
        <v>13664</v>
      </c>
      <c r="F56" s="3">
        <v>3.6921296296296298E-3</v>
      </c>
      <c r="G56">
        <v>46.72</v>
      </c>
      <c r="H56">
        <v>14421</v>
      </c>
      <c r="I56">
        <v>1211.4396999999999</v>
      </c>
      <c r="J56">
        <v>58</v>
      </c>
      <c r="K56">
        <v>201835</v>
      </c>
      <c r="L56">
        <v>4.55</v>
      </c>
      <c r="M56">
        <v>319</v>
      </c>
      <c r="N56" t="s">
        <v>142</v>
      </c>
      <c r="O56" t="s">
        <v>158</v>
      </c>
      <c r="P56" t="s">
        <v>157</v>
      </c>
      <c r="Q56" s="8">
        <f>IFERROR(M56/D56,"")</f>
        <v>0.46705710102489018</v>
      </c>
      <c r="R56">
        <f>ABS(Q56*100-G56)</f>
        <v>1.4289897510984417E-2</v>
      </c>
    </row>
    <row r="57" spans="1:18" x14ac:dyDescent="0.25">
      <c r="A57" t="s">
        <v>119</v>
      </c>
      <c r="B57" t="s">
        <v>120</v>
      </c>
      <c r="C57" s="1">
        <v>45857</v>
      </c>
      <c r="D57">
        <v>812</v>
      </c>
      <c r="E57">
        <v>6595</v>
      </c>
      <c r="F57" s="3">
        <v>3.8773148148148148E-3</v>
      </c>
      <c r="G57">
        <v>41.27</v>
      </c>
      <c r="H57">
        <v>6604</v>
      </c>
      <c r="I57">
        <v>613.90800000000002</v>
      </c>
      <c r="J57">
        <v>18</v>
      </c>
      <c r="K57">
        <v>124299</v>
      </c>
      <c r="L57">
        <v>3.89</v>
      </c>
      <c r="M57">
        <v>335</v>
      </c>
      <c r="N57" t="s">
        <v>145</v>
      </c>
      <c r="O57" t="s">
        <v>157</v>
      </c>
      <c r="P57" t="s">
        <v>157</v>
      </c>
      <c r="Q57" s="8">
        <f>IFERROR(M57/D57,"")</f>
        <v>0.41256157635467983</v>
      </c>
      <c r="R57">
        <f>ABS(Q57*100-G57)</f>
        <v>1.384236453201737E-2</v>
      </c>
    </row>
    <row r="58" spans="1:18" x14ac:dyDescent="0.25">
      <c r="A58" t="s">
        <v>31</v>
      </c>
      <c r="B58" t="s">
        <v>32</v>
      </c>
      <c r="C58" s="1">
        <v>46228</v>
      </c>
      <c r="D58">
        <v>624</v>
      </c>
      <c r="E58">
        <v>64282</v>
      </c>
      <c r="F58" s="3">
        <v>2.8009259259259259E-3</v>
      </c>
      <c r="G58">
        <v>38.79</v>
      </c>
      <c r="H58">
        <v>67578</v>
      </c>
      <c r="I58">
        <v>4323.4861000000001</v>
      </c>
      <c r="J58">
        <v>139</v>
      </c>
      <c r="K58">
        <v>838731</v>
      </c>
      <c r="L58">
        <v>5.53</v>
      </c>
      <c r="M58">
        <v>242</v>
      </c>
      <c r="N58" t="s">
        <v>143</v>
      </c>
      <c r="O58" t="s">
        <v>159</v>
      </c>
      <c r="P58" t="s">
        <v>159</v>
      </c>
      <c r="Q58" s="8">
        <f>IFERROR(M58/D58,"")</f>
        <v>0.38782051282051283</v>
      </c>
      <c r="R58">
        <f>ABS(Q58*100-G58)</f>
        <v>7.9487179487145454E-3</v>
      </c>
    </row>
    <row r="59" spans="1:18" x14ac:dyDescent="0.25">
      <c r="A59" t="s">
        <v>99</v>
      </c>
      <c r="B59" t="s">
        <v>100</v>
      </c>
      <c r="C59" s="1">
        <v>45677</v>
      </c>
      <c r="D59">
        <v>500</v>
      </c>
      <c r="E59">
        <v>11088</v>
      </c>
      <c r="F59" s="3">
        <v>2.0486111111111113E-3</v>
      </c>
      <c r="G59">
        <v>35.4</v>
      </c>
      <c r="H59">
        <v>11096</v>
      </c>
      <c r="I59">
        <v>545.17639999999994</v>
      </c>
      <c r="J59">
        <v>65</v>
      </c>
      <c r="K59">
        <v>101430</v>
      </c>
      <c r="L59">
        <v>6.07</v>
      </c>
      <c r="M59">
        <v>177</v>
      </c>
      <c r="N59" t="s">
        <v>145</v>
      </c>
      <c r="O59" t="s">
        <v>157</v>
      </c>
      <c r="P59" t="s">
        <v>159</v>
      </c>
      <c r="Q59" s="8">
        <f>IFERROR(M59/D59,"")</f>
        <v>0.35399999999999998</v>
      </c>
      <c r="R59">
        <f>ABS(Q59*100-G59)</f>
        <v>0</v>
      </c>
    </row>
  </sheetData>
  <conditionalFormatting sqref="A2:A59">
    <cfRule type="duplicateValues" dxfId="0" priority="1"/>
  </conditionalFormatting>
  <dataValidations count="2">
    <dataValidation type="list" allowBlank="1" showInputMessage="1" showErrorMessage="1" sqref="N2:N59" xr:uid="{CDA88C0E-32F7-478E-831D-6255BA99F55E}">
      <formula1>"Scouting Report,Tactical Analysis,Theory / Prediction,Match Analysis,General Analysis"</formula1>
    </dataValidation>
    <dataValidation type="list" allowBlank="1" showInputMessage="1" showErrorMessage="1" sqref="O2:P59" xr:uid="{2A7C46E4-2747-4FF1-B95E-9ACDF7F257E5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209C-037B-4F2F-87A0-C0C3C2F8EBB7}">
  <dimension ref="A1:E16"/>
  <sheetViews>
    <sheetView workbookViewId="0">
      <selection activeCell="D1" sqref="D1"/>
    </sheetView>
  </sheetViews>
  <sheetFormatPr defaultRowHeight="15" x14ac:dyDescent="0.25"/>
  <cols>
    <col min="1" max="1" width="18.42578125" customWidth="1"/>
    <col min="2" max="2" width="80.42578125" customWidth="1"/>
    <col min="4" max="4" width="13.42578125" bestFit="1" customWidth="1"/>
    <col min="5" max="5" width="17" bestFit="1" customWidth="1"/>
    <col min="6" max="8" width="18.28515625" bestFit="1" customWidth="1"/>
    <col min="9" max="9" width="11.28515625" bestFit="1" customWidth="1"/>
  </cols>
  <sheetData>
    <row r="1" spans="1:5" x14ac:dyDescent="0.25">
      <c r="A1" t="s">
        <v>140</v>
      </c>
      <c r="B1" t="s">
        <v>141</v>
      </c>
      <c r="D1" s="4" t="s">
        <v>154</v>
      </c>
      <c r="E1" t="s">
        <v>155</v>
      </c>
    </row>
    <row r="2" spans="1:5" x14ac:dyDescent="0.25">
      <c r="A2" t="s">
        <v>142</v>
      </c>
      <c r="B2" t="s">
        <v>147</v>
      </c>
      <c r="D2" s="5" t="s">
        <v>159</v>
      </c>
      <c r="E2" s="6">
        <v>12</v>
      </c>
    </row>
    <row r="3" spans="1:5" x14ac:dyDescent="0.25">
      <c r="A3" t="s">
        <v>143</v>
      </c>
      <c r="B3" t="s">
        <v>148</v>
      </c>
      <c r="D3" s="5" t="s">
        <v>157</v>
      </c>
      <c r="E3" s="6">
        <v>40</v>
      </c>
    </row>
    <row r="4" spans="1:5" x14ac:dyDescent="0.25">
      <c r="A4" t="s">
        <v>146</v>
      </c>
      <c r="B4" t="s">
        <v>149</v>
      </c>
      <c r="D4" s="5" t="s">
        <v>158</v>
      </c>
      <c r="E4" s="6">
        <v>6</v>
      </c>
    </row>
    <row r="5" spans="1:5" x14ac:dyDescent="0.25">
      <c r="A5" t="s">
        <v>144</v>
      </c>
      <c r="B5" t="s">
        <v>150</v>
      </c>
      <c r="D5" s="5" t="s">
        <v>153</v>
      </c>
      <c r="E5" s="6">
        <v>58</v>
      </c>
    </row>
    <row r="6" spans="1:5" x14ac:dyDescent="0.25">
      <c r="A6" t="s">
        <v>145</v>
      </c>
      <c r="B6" t="s">
        <v>151</v>
      </c>
    </row>
    <row r="8" spans="1:5" x14ac:dyDescent="0.25">
      <c r="A8" t="s">
        <v>156</v>
      </c>
      <c r="B8" t="s">
        <v>141</v>
      </c>
    </row>
    <row r="9" spans="1:5" x14ac:dyDescent="0.25">
      <c r="A9" t="s">
        <v>157</v>
      </c>
      <c r="B9" t="s">
        <v>165</v>
      </c>
    </row>
    <row r="10" spans="1:5" x14ac:dyDescent="0.25">
      <c r="A10" t="s">
        <v>158</v>
      </c>
      <c r="B10" t="s">
        <v>166</v>
      </c>
    </row>
    <row r="11" spans="1:5" x14ac:dyDescent="0.25">
      <c r="A11" t="s">
        <v>159</v>
      </c>
      <c r="B11" t="s">
        <v>167</v>
      </c>
    </row>
    <row r="13" spans="1:5" x14ac:dyDescent="0.25">
      <c r="A13" t="s">
        <v>160</v>
      </c>
      <c r="B13" t="s">
        <v>141</v>
      </c>
    </row>
    <row r="14" spans="1:5" x14ac:dyDescent="0.25">
      <c r="A14" t="s">
        <v>157</v>
      </c>
      <c r="B14" t="s">
        <v>161</v>
      </c>
    </row>
    <row r="15" spans="1:5" x14ac:dyDescent="0.25">
      <c r="A15" t="s">
        <v>158</v>
      </c>
      <c r="B15" t="s">
        <v>162</v>
      </c>
    </row>
    <row r="16" spans="1:5" x14ac:dyDescent="0.25">
      <c r="A16" t="s">
        <v>159</v>
      </c>
      <c r="B16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241199-141D-4405-B90E-679505DA15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raw_import</vt:lpstr>
      <vt:lpstr>working_data</vt:lpstr>
      <vt:lpstr>tag_definitions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Lanni Rowie</dc:creator>
  <cp:lastModifiedBy>Lanni Rowie</cp:lastModifiedBy>
  <dcterms:created xsi:type="dcterms:W3CDTF">2026-10-03T02:10:46Z</dcterms:created>
  <dcterms:modified xsi:type="dcterms:W3CDTF">2026-10-08T20:25:34Z</dcterms:modified>
</cp:coreProperties>
</file>